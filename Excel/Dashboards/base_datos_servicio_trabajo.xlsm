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CURSOS\BOOTCAMP ANALISIS DE DATOS\ANALISIS DE DATOS EXPLORADOR\Excel\"/>
    </mc:Choice>
  </mc:AlternateContent>
  <xr:revisionPtr revIDLastSave="0" documentId="13_ncr:1_{27024346-4C27-42F1-AF2F-CF8E74FB6BED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Sheet1" sheetId="1" r:id="rId1"/>
    <sheet name="Hoja2" sheetId="3" r:id="rId2"/>
    <sheet name="Dashboard" sheetId="4" r:id="rId3"/>
  </sheets>
  <definedNames>
    <definedName name="_xlnm._FilterDatabase" localSheetId="0" hidden="1">Sheet1!$A$1:$N$372</definedName>
    <definedName name="_xlchart.v5.0" hidden="1">Hoja2!$C$51:$C$61</definedName>
    <definedName name="_xlchart.v5.1" hidden="1">Hoja2!$D$50</definedName>
    <definedName name="_xlchart.v5.2" hidden="1">Hoja2!$D$51:$D$61</definedName>
    <definedName name="_xlchart.v5.3" hidden="1">Hoja2!$E$50</definedName>
    <definedName name="NativeTimeline_Fecha">#N/A</definedName>
    <definedName name="SegmentaciónDeDatos_Categoría">#N/A</definedName>
    <definedName name="SegmentaciónDeDatos_Departamento">#N/A</definedName>
    <definedName name="SegmentaciónDeDatos_Forma_de_pago">#N/A</definedName>
    <definedName name="SegmentaciónDeDatos_Vendedor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</extLst>
</workbook>
</file>

<file path=xl/calcChain.xml><?xml version="1.0" encoding="utf-8"?>
<calcChain xmlns="http://schemas.openxmlformats.org/spreadsheetml/2006/main">
  <c r="C52" i="3" l="1"/>
  <c r="C53" i="3"/>
  <c r="C54" i="3"/>
  <c r="C55" i="3"/>
  <c r="C56" i="3"/>
  <c r="C57" i="3"/>
  <c r="C58" i="3"/>
  <c r="C59" i="3"/>
  <c r="C60" i="3"/>
  <c r="C61" i="3"/>
  <c r="C51" i="3"/>
  <c r="D61" i="3"/>
  <c r="D60" i="3"/>
  <c r="D59" i="3"/>
  <c r="D58" i="3"/>
  <c r="D57" i="3"/>
  <c r="D56" i="3"/>
  <c r="D55" i="3"/>
  <c r="D54" i="3"/>
  <c r="D53" i="3"/>
  <c r="D52" i="3"/>
  <c r="D51" i="3"/>
</calcChain>
</file>

<file path=xl/sharedStrings.xml><?xml version="1.0" encoding="utf-8"?>
<sst xmlns="http://schemas.openxmlformats.org/spreadsheetml/2006/main" count="3055" uniqueCount="126">
  <si>
    <t>Documento</t>
  </si>
  <si>
    <t>Fecha</t>
  </si>
  <si>
    <t>Id Cliente</t>
  </si>
  <si>
    <t>Cliente</t>
  </si>
  <si>
    <t>Ciudad</t>
  </si>
  <si>
    <t>Departamento</t>
  </si>
  <si>
    <t>Vendedor</t>
  </si>
  <si>
    <t>Empresa</t>
  </si>
  <si>
    <t>Forma de pago</t>
  </si>
  <si>
    <t>Producto</t>
  </si>
  <si>
    <t>Categoría</t>
  </si>
  <si>
    <t>Precio</t>
  </si>
  <si>
    <t>Cantidad</t>
  </si>
  <si>
    <t>Ventas</t>
  </si>
  <si>
    <t>Empresa AA</t>
  </si>
  <si>
    <t>Empresa D</t>
  </si>
  <si>
    <t>Empresa L</t>
  </si>
  <si>
    <t>Empresa H</t>
  </si>
  <si>
    <t>Empresa CC</t>
  </si>
  <si>
    <t>Empresa F</t>
  </si>
  <si>
    <t>Empresa BB</t>
  </si>
  <si>
    <t>Empresa J</t>
  </si>
  <si>
    <t>Empresa K</t>
  </si>
  <si>
    <t>Empresa A</t>
  </si>
  <si>
    <t>Empresa I</t>
  </si>
  <si>
    <t>Empresa C</t>
  </si>
  <si>
    <t>Empresa Y</t>
  </si>
  <si>
    <t>Empresa Z</t>
  </si>
  <si>
    <t>Empresa G</t>
  </si>
  <si>
    <t>Bucaramanga</t>
  </si>
  <si>
    <t>Cali</t>
  </si>
  <si>
    <t>Armenia</t>
  </si>
  <si>
    <t>Medellin</t>
  </si>
  <si>
    <t>Tunja</t>
  </si>
  <si>
    <t>Ibague</t>
  </si>
  <si>
    <t>Pereira</t>
  </si>
  <si>
    <t>Cartagena</t>
  </si>
  <si>
    <t>Neiva</t>
  </si>
  <si>
    <t>Bogota</t>
  </si>
  <si>
    <t>Manizales</t>
  </si>
  <si>
    <t>Santander</t>
  </si>
  <si>
    <t>Valle del Cauca</t>
  </si>
  <si>
    <t>Quindio</t>
  </si>
  <si>
    <t>Antioquia</t>
  </si>
  <si>
    <t>Tolima</t>
  </si>
  <si>
    <t>Risaralda</t>
  </si>
  <si>
    <t>Bolivar</t>
  </si>
  <si>
    <t>Huila</t>
  </si>
  <si>
    <t>Caldas</t>
  </si>
  <si>
    <t>Boyaca</t>
  </si>
  <si>
    <t>Lorena Camila Serrano Castro</t>
  </si>
  <si>
    <t>Andrés González Rico</t>
  </si>
  <si>
    <t>Patricia Liliana Vergara Rojas</t>
  </si>
  <si>
    <t>German Alberto Suarez Morales</t>
  </si>
  <si>
    <t>Luis Miguel Valdés Garza</t>
  </si>
  <si>
    <t>Fernanda Gonzalez Bermudez</t>
  </si>
  <si>
    <t>Laura Gutiérrez Saenz</t>
  </si>
  <si>
    <t>Robert Zárate Carrillo</t>
  </si>
  <si>
    <t>Distribuidora Salento</t>
  </si>
  <si>
    <t>Comercializadora el Centro</t>
  </si>
  <si>
    <t>Distribuciones el Sol</t>
  </si>
  <si>
    <t>Cheque</t>
  </si>
  <si>
    <t>Tarjeta de crédito</t>
  </si>
  <si>
    <t>Efectivo</t>
  </si>
  <si>
    <t>Cerveza</t>
  </si>
  <si>
    <t>Ciruelas secas</t>
  </si>
  <si>
    <t>Peras secas</t>
  </si>
  <si>
    <t>Manzanas secas</t>
  </si>
  <si>
    <t>Aromatica</t>
  </si>
  <si>
    <t>Café</t>
  </si>
  <si>
    <t>Galletas de chocolate</t>
  </si>
  <si>
    <t>Chocolate</t>
  </si>
  <si>
    <t>Camarones</t>
  </si>
  <si>
    <t>Salsa BBQ</t>
  </si>
  <si>
    <t>Té verde</t>
  </si>
  <si>
    <t>Jalea de fresa</t>
  </si>
  <si>
    <t>Trisalsina</t>
  </si>
  <si>
    <t>Atún</t>
  </si>
  <si>
    <t>Ravioli</t>
  </si>
  <si>
    <t>Mozzarella</t>
  </si>
  <si>
    <t>Almendras</t>
  </si>
  <si>
    <t>Cóctel de frutas</t>
  </si>
  <si>
    <t>Pasta penne</t>
  </si>
  <si>
    <t>Pan Seda</t>
  </si>
  <si>
    <t>Aceite de oliva</t>
  </si>
  <si>
    <t>Mermelada de mora</t>
  </si>
  <si>
    <t>Arroz</t>
  </si>
  <si>
    <t>Jarabe</t>
  </si>
  <si>
    <t>Bebidas</t>
  </si>
  <si>
    <t>Frutas secas</t>
  </si>
  <si>
    <t>Productos horneados</t>
  </si>
  <si>
    <t>Dulces</t>
  </si>
  <si>
    <t>Sopas</t>
  </si>
  <si>
    <t>Salsas</t>
  </si>
  <si>
    <t>Mermeladas y jaleas</t>
  </si>
  <si>
    <t>Condimentos</t>
  </si>
  <si>
    <t>Carne enlatada</t>
  </si>
  <si>
    <t>Pasta</t>
  </si>
  <si>
    <t>Productos lácteos</t>
  </si>
  <si>
    <t>Frutas y vegetales</t>
  </si>
  <si>
    <t>Aceite</t>
  </si>
  <si>
    <t>Granos</t>
  </si>
  <si>
    <t>Sin referencia</t>
  </si>
  <si>
    <t>Suma de Ventas</t>
  </si>
  <si>
    <t>Etiquetas de fila</t>
  </si>
  <si>
    <t>Total general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</si>
  <si>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</si>
  <si>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</si>
  <si>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</si>
  <si>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</si>
  <si>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</si>
  <si>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</si>
  <si>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</si>
  <si>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</si>
  <si>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</si>
  <si>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</si>
  <si>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</si>
  <si>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</si>
  <si>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Cuenta de Ventas</t>
  </si>
  <si>
    <t>0-20000</t>
  </si>
  <si>
    <t>20000-40000</t>
  </si>
  <si>
    <t>40000-60000</t>
  </si>
  <si>
    <t>60000-80000</t>
  </si>
  <si>
    <t>80000-100000</t>
  </si>
  <si>
    <t>100000-120000</t>
  </si>
  <si>
    <t xml:space="preserve">INFORME DE VENTAS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</si>
</sst>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$&quot;\ * #,##0.00_-;\-&quot;$&quot;\ * #,##0.00_-;_-&quot;$&quot;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0"/>
      <name val="Arial"/>
      <family val="2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2" borderId="0" xfId="0" applyFill="1"/>
    <xf numFmtId="0" fontId="2" fillId="0" borderId="0" xfId="0" applyFont="1"/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9">
    <dxf>
      <numFmt numFmtId="34" formatCode="_-&quot;$&quot;\ * #,##0.00_-;\-&quot;$&quot;\ * #,##0.00_-;_-&quot;$&quot;\ * &quot;-&quot;??_-;_-@_-"/>
    </dxf>
    <dxf>
      <numFmt numFmtId="19" formatCode="d/mm/yyyy"/>
      <alignment horizontal="righ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font>
        <color theme="0"/>
      </font>
      <fill>
        <patternFill>
          <bgColor theme="1"/>
        </patternFill>
      </fill>
      <border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font>
        <sz val="11"/>
        <color theme="8" tint="-0.24994659260841701"/>
        <name val="Calibri"/>
        <family val="2"/>
        <scheme val="minor"/>
      </font>
    </dxf>
    <dxf>
      <font>
        <color theme="0"/>
      </font>
      <fill>
        <patternFill patternType="solid">
          <fgColor theme="0"/>
          <bgColor theme="1"/>
        </patternFill>
      </fill>
      <border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</dxfs>
  <tableStyles count="2" defaultTableStyle="TableStyleMedium9" defaultPivotStyle="PivotStyleLight16">
    <tableStyle name="Estilo de escala de tiempo 1" pivot="0" table="0" count="8" xr9:uid="{EE03CB4E-C89E-4C60-951A-CB0547AC1926}">
      <tableStyleElement type="wholeTable" dxfId="8"/>
      <tableStyleElement type="headerRow" dxfId="7"/>
    </tableStyle>
    <tableStyle name="Estilo de segmentación de datos 2" pivot="0" table="0" count="6" xr9:uid="{641E4CE0-6B8B-430F-8FCD-66B570ABDADE}">
      <tableStyleElement type="wholeTable" dxfId="6"/>
      <tableStyleElement type="headerRow" dxfId="5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8" tint="-0.499984740745262"/>
            </patternFill>
          </fill>
        </dxf>
        <dxf>
          <fill>
            <patternFill>
              <bgColor theme="8" tint="-0.499984740745262"/>
            </patternFill>
          </fill>
        </dxf>
        <dxf>
          <fill>
            <patternFill>
              <bgColor theme="8" tint="-0.24994659260841701"/>
            </patternFill>
          </fill>
        </dxf>
        <dxf>
          <fill>
            <patternFill>
              <bgColor theme="8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2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3743705557422"/>
              <bgColor theme="8" tint="-0.24994659260841701"/>
            </patternFill>
          </fill>
        </dxf>
        <dxf>
          <fill>
            <patternFill patternType="solid">
              <fgColor theme="0"/>
              <bgColor theme="8" tint="-0.499984740745262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tyles" Target="styles.xml"/><Relationship Id="rId5" Type="http://schemas.microsoft.com/office/2007/relationships/slicerCache" Target="slicerCaches/slicerCache1.xml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11/relationships/timelineCache" Target="timelineCaches/timelineCach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[base_datos_servicio_trabajo.xlsm]Hoja2!TablaDinámica1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</a:t>
            </a:r>
            <a:r>
              <a:rPr lang="en-US" baseline="0">
                <a:solidFill>
                  <a:schemeClr val="bg1"/>
                </a:solidFill>
              </a:rPr>
              <a:t> por Vendedor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Hoja2!$B$5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Hoja2!$A$6:$A$14</c:f>
              <c:strCache>
                <c:ptCount val="8"/>
                <c:pt idx="0">
                  <c:v>German Alberto Suarez Morales</c:v>
                </c:pt>
                <c:pt idx="1">
                  <c:v>Robert Zárate Carrillo</c:v>
                </c:pt>
                <c:pt idx="2">
                  <c:v>Luis Miguel Valdés Garza</c:v>
                </c:pt>
                <c:pt idx="3">
                  <c:v>Lorena Camila Serrano Castro</c:v>
                </c:pt>
                <c:pt idx="4">
                  <c:v>Laura Gutiérrez Saenz</c:v>
                </c:pt>
                <c:pt idx="5">
                  <c:v>Andrés González Rico</c:v>
                </c:pt>
                <c:pt idx="6">
                  <c:v>Fernanda Gonzalez Bermudez</c:v>
                </c:pt>
                <c:pt idx="7">
                  <c:v>Patricia Liliana Vergara Rojas</c:v>
                </c:pt>
              </c:strCache>
            </c:strRef>
          </c:cat>
          <c:val>
            <c:numRef>
              <c:f>Hoja2!$B$6:$B$14</c:f>
              <c:numCache>
                <c:formatCode>_("$"* #,##0.00_);_("$"* \(#,##0.00\);_("$"* "-"??_);_(@_)</c:formatCode>
                <c:ptCount val="8"/>
                <c:pt idx="0">
                  <c:v>213238</c:v>
                </c:pt>
                <c:pt idx="1">
                  <c:v>404440.19999999995</c:v>
                </c:pt>
                <c:pt idx="2">
                  <c:v>499534</c:v>
                </c:pt>
                <c:pt idx="3">
                  <c:v>503486.22</c:v>
                </c:pt>
                <c:pt idx="4">
                  <c:v>573454.34000000008</c:v>
                </c:pt>
                <c:pt idx="5">
                  <c:v>838518.6</c:v>
                </c:pt>
                <c:pt idx="6">
                  <c:v>1251279.6800000002</c:v>
                </c:pt>
                <c:pt idx="7">
                  <c:v>1379805.24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B-4738-A3F1-72358B8890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16811312"/>
        <c:axId val="1516808912"/>
      </c:barChart>
      <c:catAx>
        <c:axId val="1516811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6808912"/>
        <c:crosses val="autoZero"/>
        <c:auto val="1"/>
        <c:lblAlgn val="ctr"/>
        <c:lblOffset val="100"/>
        <c:noMultiLvlLbl val="0"/>
      </c:catAx>
      <c:valAx>
        <c:axId val="1516808912"/>
        <c:scaling>
          <c:orientation val="minMax"/>
        </c:scaling>
        <c:delete val="0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681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[base_datos_servicio_trabajo.xlsm]Hoja2!TablaDinámica3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Ventas Mensuales</a:t>
            </a:r>
            <a:endParaRPr lang="en-US"/>
          </a:p>
        </c:rich>
      </c:tx>
      <c:overlay val="0"/>
      <c:spPr>
        <a:solidFill>
          <a:schemeClr val="dk1"/>
        </a:solidFill>
        <a:ln w="25400" cap="flat" cmpd="sng" algn="ctr">
          <a:solidFill>
            <a:schemeClr val="dk1">
              <a:shade val="15000"/>
            </a:schemeClr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Hoja2!$B$17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Hoja2!$A$18:$A$30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Hoja2!$B$18:$B$30</c:f>
              <c:numCache>
                <c:formatCode>General</c:formatCode>
                <c:ptCount val="12"/>
                <c:pt idx="0">
                  <c:v>548269.44000000006</c:v>
                </c:pt>
                <c:pt idx="1">
                  <c:v>372911.1</c:v>
                </c:pt>
                <c:pt idx="2">
                  <c:v>351851</c:v>
                </c:pt>
                <c:pt idx="3">
                  <c:v>628879.22000000009</c:v>
                </c:pt>
                <c:pt idx="4">
                  <c:v>558568.5</c:v>
                </c:pt>
                <c:pt idx="5">
                  <c:v>481792.04</c:v>
                </c:pt>
                <c:pt idx="6">
                  <c:v>459700.8</c:v>
                </c:pt>
                <c:pt idx="7">
                  <c:v>564966.5</c:v>
                </c:pt>
                <c:pt idx="8">
                  <c:v>504202.0199999999</c:v>
                </c:pt>
                <c:pt idx="9">
                  <c:v>512894.75999999995</c:v>
                </c:pt>
                <c:pt idx="10">
                  <c:v>340397.3</c:v>
                </c:pt>
                <c:pt idx="11">
                  <c:v>339323.60000000003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DD-4A9B-BA25-709E3404E5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18080208"/>
        <c:axId val="1518080688"/>
      </c:barChart>
      <c:catAx>
        <c:axId val="151808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8080688"/>
        <c:crosses val="autoZero"/>
        <c:auto val="1"/>
        <c:lblAlgn val="ctr"/>
        <c:lblOffset val="100"/>
        <c:noMultiLvlLbl val="0"/>
      </c:catAx>
      <c:valAx>
        <c:axId val="1518080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808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[base_datos_servicio_trabajo.xlsm]Hoja2!TablaDinámica4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Hoja2!$B$33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Hoja2!$A$34:$A$48</c:f>
              <c:strCache>
                <c:ptCount val="14"/>
                <c:pt idx="0">
                  <c:v>Granos</c:v>
                </c:pt>
                <c:pt idx="1">
                  <c:v>Frutas y vegetales</c:v>
                </c:pt>
                <c:pt idx="2">
                  <c:v>Aceite</c:v>
                </c:pt>
                <c:pt idx="3">
                  <c:v>Sopas</c:v>
                </c:pt>
                <c:pt idx="4">
                  <c:v>Dulces</c:v>
                </c:pt>
                <c:pt idx="5">
                  <c:v>Productos horneados</c:v>
                </c:pt>
                <c:pt idx="6">
                  <c:v>Pasta</c:v>
                </c:pt>
                <c:pt idx="7">
                  <c:v>Condimentos</c:v>
                </c:pt>
                <c:pt idx="8">
                  <c:v>Frutas secas</c:v>
                </c:pt>
                <c:pt idx="9">
                  <c:v>Carne enlatada</c:v>
                </c:pt>
                <c:pt idx="10">
                  <c:v>Productos lácteos</c:v>
                </c:pt>
                <c:pt idx="11">
                  <c:v>Mermeladas y jaleas</c:v>
                </c:pt>
                <c:pt idx="12">
                  <c:v>Salsas</c:v>
                </c:pt>
                <c:pt idx="13">
                  <c:v>Bebidas</c:v>
                </c:pt>
              </c:strCache>
            </c:strRef>
          </c:cat>
          <c:val>
            <c:numRef>
              <c:f>Hoja2!$B$34:$B$48</c:f>
              <c:numCache>
                <c:formatCode>General</c:formatCode>
                <c:ptCount val="14"/>
                <c:pt idx="0">
                  <c:v>40376</c:v>
                </c:pt>
                <c:pt idx="1">
                  <c:v>97188</c:v>
                </c:pt>
                <c:pt idx="2">
                  <c:v>186513.60000000003</c:v>
                </c:pt>
                <c:pt idx="3">
                  <c:v>212120.3</c:v>
                </c:pt>
                <c:pt idx="4">
                  <c:v>232475</c:v>
                </c:pt>
                <c:pt idx="5">
                  <c:v>260317.2</c:v>
                </c:pt>
                <c:pt idx="6">
                  <c:v>267174</c:v>
                </c:pt>
                <c:pt idx="7">
                  <c:v>274148</c:v>
                </c:pt>
                <c:pt idx="8">
                  <c:v>302386</c:v>
                </c:pt>
                <c:pt idx="9">
                  <c:v>341108.6</c:v>
                </c:pt>
                <c:pt idx="10">
                  <c:v>428123.1999999999</c:v>
                </c:pt>
                <c:pt idx="11">
                  <c:v>711364</c:v>
                </c:pt>
                <c:pt idx="12">
                  <c:v>916645</c:v>
                </c:pt>
                <c:pt idx="13">
                  <c:v>1393817.38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1-4DD0-B7A6-81155D0D92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18081648"/>
        <c:axId val="1680569360"/>
      </c:barChart>
      <c:catAx>
        <c:axId val="1518081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80569360"/>
        <c:crosses val="autoZero"/>
        <c:auto val="1"/>
        <c:lblAlgn val="ctr"/>
        <c:lblOffset val="100"/>
        <c:noMultiLvlLbl val="0"/>
      </c:catAx>
      <c:valAx>
        <c:axId val="168056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80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[base_datos_servicio_trabajo.xlsm]Hoja2!TablaDinámica6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Forma de Pago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shade val="6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5">
              <a:tint val="6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>
              <a:shade val="6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5">
              <a:tint val="6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shade val="6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5">
              <a:tint val="6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Hoja2!$F$5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29E-4CAC-A59B-864F8EDA6CA6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29E-4CAC-A59B-864F8EDA6CA6}"/>
              </c:ext>
            </c:extLst>
          </c:dPt>
          <c:dPt>
            <c:idx val="2"/>
            <c:bubble3D val="0"/>
            <c:spPr>
              <a:solidFill>
                <a:schemeClr val="accent5">
                  <a:tint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29E-4CAC-A59B-864F8EDA6C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Hoja2!$E$6:$E$9</c:f>
              <c:strCache>
                <c:ptCount val="3"/>
                <c:pt idx="0">
                  <c:v>Cheque</c:v>
                </c:pt>
                <c:pt idx="1">
                  <c:v>Efectivo</c:v>
                </c:pt>
                <c:pt idx="2">
                  <c:v>Tarjeta de crédito</c:v>
                </c:pt>
              </c:strCache>
            </c:strRef>
          </c:cat>
          <c:val>
            <c:numRef>
              <c:f>Hoja2!$F$6:$F$9</c:f>
              <c:numCache>
                <c:formatCode>General</c:formatCode>
                <c:ptCount val="3"/>
                <c:pt idx="0">
                  <c:v>136</c:v>
                </c:pt>
                <c:pt idx="1">
                  <c:v>74</c:v>
                </c:pt>
                <c:pt idx="2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9E-4CAC-A59B-864F8EDA6CA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[base_datos_servicio_trabajo.xlsm]Hoja2!TablaDinámica12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Rango</a:t>
            </a:r>
            <a:r>
              <a:rPr lang="en-US" baseline="0">
                <a:solidFill>
                  <a:schemeClr val="bg1"/>
                </a:solidFill>
              </a:rPr>
              <a:t> de Ventas Anuales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shade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5">
              <a:shade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5">
              <a:shade val="9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5">
              <a:tint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shade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5">
              <a:shade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5">
              <a:shade val="9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5">
              <a:tint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shade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5">
              <a:shade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5">
              <a:shade val="9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5">
              <a:tint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Hoja2!$F$12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6EE-47F8-AD31-ECB9C2527C5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6EE-47F8-AD31-ECB9C2527C5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6EE-47F8-AD31-ECB9C2527C5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6EE-47F8-AD31-ECB9C2527C5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6EE-47F8-AD31-ECB9C2527C5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6EE-47F8-AD31-ECB9C2527C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Hoja2!$E$13:$E$19</c:f>
              <c:strCache>
                <c:ptCount val="6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  <c:pt idx="4">
                  <c:v>80000-100000</c:v>
                </c:pt>
                <c:pt idx="5">
                  <c:v>100000-120000</c:v>
                </c:pt>
              </c:strCache>
            </c:strRef>
          </c:cat>
          <c:val>
            <c:numRef>
              <c:f>Hoja2!$F$13:$F$19</c:f>
              <c:numCache>
                <c:formatCode>General</c:formatCode>
                <c:ptCount val="6"/>
                <c:pt idx="0">
                  <c:v>2222562.3800000004</c:v>
                </c:pt>
                <c:pt idx="1">
                  <c:v>1428234.7000000002</c:v>
                </c:pt>
                <c:pt idx="2">
                  <c:v>1411799.2</c:v>
                </c:pt>
                <c:pt idx="3">
                  <c:v>309722</c:v>
                </c:pt>
                <c:pt idx="4">
                  <c:v>180306</c:v>
                </c:pt>
                <c:pt idx="5">
                  <c:v>111132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EE-47F8-AD31-ECB9C2527C5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  <cx:nf>_xlchart.v5.1</cx:nf>
      </cx:strDim>
      <cx:numDim type="colorVal">
        <cx:f>_xlchart.v5.2</cx:f>
        <cx:nf>_xlchart.v5.3</cx:nf>
      </cx:numDim>
    </cx:data>
  </cx:chartData>
  <cx:chart>
    <cx:title pos="t" align="ctr" overlay="0">
      <cx:tx>
        <cx:txData>
          <cx:v>Ventas por Departamento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es-ES" sz="1400" b="0" i="0" u="none" strike="noStrike" baseline="0">
              <a:solidFill>
                <a:schemeClr val="bg1"/>
              </a:solidFill>
              <a:latin typeface="Calibri"/>
            </a:rPr>
            <a:t>Ventas por Departamento</a:t>
          </a:r>
        </a:p>
      </cx:txPr>
    </cx:title>
    <cx:plotArea>
      <cx:plotAreaRegion>
        <cx:series layoutId="regionMap" uniqueId="{8035D157-70AE-41FC-BA9F-8125F3AF919D}">
          <cx:dataId val="0"/>
          <cx:layoutPr>
            <cx:geography cultureLanguage="es-ES" cultureRegion="CO" attribution="Con tecnología de Bing">
              <cx:geoCache provider="{E9337A44-BEBE-4D9F-B70C-5C5E7DAFC167}">
                <cx:binary>1HtZct04s+ZWKuq56cI83Lh1IxrkOUezZMmD7BeGSpI5ggRJcMJuegH3qZfwb6zzWHaVBpf9V3R1
RJcebIsgmEAmMvHll+n/vF3+47a+v+l/WmzdDP9xu/z6c+69+49ffhlu83t7M7yyxW3fDu0n/+q2
tb+0nz4Vt/e/3PU3c9FkvxCE2S+3+U3v75ef/+s/4WvZfXvS3t74om1ej/f9enk/jLUfvjP2zaGf
bu5s0STF4Pvi1uNff/6fDXyyG4ubn3+6h3/69c3q7n/9+clrP//0y/OPvRD8Uw1r8+MdzJWv0P5H
cfX5b4Tozz/VbZN9GY4kf8X3I1IQ/fDzVfbZjYX5/9aSPi/o5u6uvx8G2NTnv59MfbKDJyO37dj4
vQYzUOavP8dt3drf9goohjZ+GIvb/Ubi8887/+Wp+v/rP589AF08e/LIQs8V96OhFwYybV1MN/1X
Ff3fm0e/okIgJpX4Yh78zDzslUKECsTpwwsw/nA0HswDC/rXf/9gRd+2zh8znxnnj4F/mm2y1v+N
nsNeCU6pwgp/cQz9wjRIUUEp+/KCemqaB7/27U/xjSv8Tf119FuH5tsmevmFZ6Z6+cI/y2QHY1H/
jRYjr5ikSmvK/8RiEOs0Qhh/HZdfbfLgTD9czrfN9GXaM9t8efrPMohp15vbv9Ei/JUgUmkp6Z9Y
hLxSRMDlxMlDeCNPLfJ5Pf/6X18f/vuu8/vEZ1b5/fk/yy5XN42/ae7u/8ab54fAgL4ie2TwZ8Dg
31rStx3m0dRn5nk08s8yUHxT390M3zunfw228VdICKWRBId4AdcEDCEIZPsf/lXmQwj78Tq+bZKv
857Z4+vjf5YxLovhpt8b5KtuvhU3/po9AIZhITST7IU9JGBqpOVnFI3QswD2by3l2yZ5NPWZVR6N
/LMM83osmrui/TvNwhBRFKM/z24kIlxRsNDnHzDfY/j8eUH/+u/vrujb1vlj5jPj/DHwz7LNG0ht
7N/qMYhyLpX8krgg/MJzCFJCUP0FGzwzzY/X823DfJ33zCxfH/+zjPLupq7vf7q7ryGJGP9OYEZf
Ca0Y4kT8CTATrzhHe+bjS3IDtMFjx/kLC/u2mV584Jm9Xoz//224P13dg9IeLqAnL/1FHoe92kcw
LPRz/oa80kgpTNmXECieGuoPQuXPV/JtC/0x88m6/99zNH/O3/xOdCU3/mbzmSF7ROF8f/TzJoG4
ezb1y6n+JkJ40Njh3a8/Y4QRqB4u99/Jt/13nrhEnLe3//rfX7X/dNb9zeB//TmSAtg4IpAmnGii
hQLKYL5/GJKvFOA9GJMME4w0hMOm7X3+68/qlWBcalgCglHBBSxjaMf9EH2lYQxcVEouNHB8+HeC
8qKt16xtflfKl99/akZ70RaNH2C2hATYPby3Xy/ff4ABklGYUKk5+zx+e3MJLCi8jv8H13U7ae5I
wrG10a6fI4XiFdHxXdsTUZkuR+KqSWVaGNlX/aXXpeRHShUMG1w1y0clep7QsWJtMhWoSWPej+0p
rCG75qhvnWns6msT5rpez2dKChnr1UWR6Xgn7hleUm/qHLnO5Dal0VFvA2kNcyo7QX0zd3EJb1Oj
CMZ3bAzpbWBRcKbKbX09+CgjJrgmiuIoWuUbQprlE2pUKBIrC5HHwLO5O6nWutvyJl/cYUeUX+Om
mlVhismPt3O2TEU8DByETJMQfczmxZ5nRLPxuI+yfI7nopozU0S0e62zUHebKVv9HU2tuHKEfgJ+
06HjfMANfEFPU2TmueV3viQhMn1BdXlAEe0mM3GwbMKYQI3JpxF9YmLull3jK3SVD+XokrDOco4V
7VpYukSYmnmo1LhtaO0vbCTaIW6bSp11Q11wQ4gVH6RuQMmlzpduA9EkvSVzVR/JKnOlqVrX0Vjk
LbsLk89vuoXTj2umVmXSMLYsYVmOK8OU6pnBbka/jXYSPPYlxo1Jdb++ibhqf6O8DSeNcwgZPAR5
FckVFJIKvbxeprW6DgqjczLNy5s0Q2MXj33pfuudqM95zRA11Vq5ANEnU8x0dmbvRjU3v7GiU7NJ
Gz5f1GWN77LA0940pF5fl70b38wlHhsjbYSOZW1Dtll0Lm/XGunZjIX17SXnIUem4ulKDVIT8cal
NM8MdZ38yDyebhQqs3Q3dMLbeNG4qDdpVaarmbJF9SZqsRyNlCOZrqZsHGhrEM/S9z1oZT6gVelF
Uue6Xk7zkq3La2fTwYKuW/VxditeDqlqWR2PZd9eKZ+G/kAQvF4jHk37E9rnNCkHVyMTsOfv62x1
a8LGcoxM0+A8/eDZ4lKjW8yypLBNn267zPL6ZKhn38aoYBrHcgiJL5fyo0vbzBlhI7CboI28alAf
Lic9qotlv/SdFai/xXVF63ixU5hMHvVho0UxjbEOC/6AlCfXQTY6M21J5/ezTOX7Ie/47byW9nqG
BDQDPQYKXt63tWlGpZfY1jqUJlMdb+IRtRPazNGEzytd9rVBkxMf8JhWIknzimdbndalNylp6g2t
U2kNKhaXx0s0iZ2yjh91nG0bO3aZsYSXKm66CRcJdXNx5aui+WhbUuAdUan+1KSFlxtbBvLO9tJi
UwwrX7cDIlGRlBW8t2GcklsQs4zGew1/zn2f4fOwRlkTD1O6FPFk+1aZBqmhkkYDo+zizk9NZgYx
qdp0LGWN6TRB1wPpxPw6HdVZSwPr4lb3uoXIY+fCkIG/C7mYqkTlKF3iUlbsjtIq6o6EnAccpzRt
62PaDi6D0Daz7WDX6ZavfpqTNkRFlPiCudz4aubysBojiD92HkfjypJlsSsK9raptDgWXQsnRtAe
oiaNhqIzvs2zbNOtlk9Jj61WyUoERLHSFesZxXq8Gco8LKYuCFZxJBz+EHig7kB7MNhBKsfSxWnT
LsGoqIw47Labx+MUiCC3IUPvYtl2Ubdxs88m08wtJYe9DP3WM97WcWVRPK6o3NpZyqvapdNvLBXO
TAVV7+TgkinU9ZwUnZjeKs7BsjSd1izu+4jQBDVtU8bLjMt70i12iUcuxDluW/Kmo4O9JJGKrEld
To6Ia7t6R7MxXA2MrJ1BUY1fszLP7j1ic58E2jtusqbkbxmq59xAnOnWtxF1CzZpWaYXtZo/aDiO
Z77xICpV/fHa5XmRSK6uaV9Eu9lrce0lio7clBYJfFZdVv2MxpiJcb2LsNRZXBBkCwOfmF9b1BSf
yBC6KOZe+fbEzi6q4jnVdZ1AXFdHdlwLZHpwbpK0to8+REKW+rBnffeu5a68wBThMa5mP9+vqg2H
U77yJSGtYHea1PbcNWhQ8ZRX6zkLfji1JUaD4ToqXw9FCweF+igv41ZRe02xqGI9Rm0bBzz0H+gS
xCkYKz927ZKfjVWV75pa6ZiHUn4Kpe2tqfouehPYYAs4+Q1jpg9iieJiCTk+8GicLqsIs8rMCxMy
tl1Byl0hB3Y1NL3tjQ8iO88tGQfjIo3HpBQtf/e4dvcEmdy2bu2LLP9SPf391/86/VqS/VzP++P5
vv76x2/n033vx/7+p9MbN/y0HZu7z1XZ53P2kPL3SX+UCPcY7vd64f6XF5jyT1DjQ8H3TwafQMon
2PkxOOSQD38HTP5eB/0DhO5nfAGSQrxSe3jAEeA+BfUOQItfgKTCryRRgEeoJADoPg99AZKYA8aE
hFtD1ocRQwhmfQGSEXtFyD4TF3A5aziCSvwVJMmBhnwCJDnXn1N/iQUgV80QjD8GkhPpV523djts
mD+x79pLf8Kvs0u8Ddt0tyRrHLbVGS7MctIfqp07DInbjmfdx/6yH8z0qXrTEWPjo2kzJ9NmTd7O
ydWJi0mid8g4k5vhsIiLJDWLQa2xYRvMuq3uHqn8yyl8jIcxwPFv7AJg8OddACJ+uotZUiHbGXZR
X48bl/SHwy5XZkGGXJAxXt6JbbnJkvzQHrPLH4iGtO2laOAcGRVESE7AVI8VOBR6zTDr7Jbswnb5
UNK4vlan9p3Cu+q4iu1hUHEtk9CcNUffF/0NyQp4TtgaJBxQL4OE87HkQi1zrcbBboGC3jaqOpkX
ucP5clZP+Ae7fCFKIAxJEFB0AvINIp7pNx0oHVHFi61UlXF5ZHS9yVB50PZq8/1N7dX1OLHhzyTt
V/LoPIoZ4FPoQdJEL2d2VS9vv/99/Dxz4gITgSl4EIMSJByYpwLUWBbe9n21ZW2Zd+/XYRJk6xs4
Pe9VFdnuTCvc8i2PQtp9sk4t4koMXLvDaqiH5Z2r505II0O7DsfORn46aJdRypitnk3vrG4o3bCp
T8eL7y98r+KnisEQQTiG/gMG6afcu8AjxaCljRxfbbktprervRAlgCN38n0ZL5UP/kMx1ZDdcjhY
UEh/LKNeaGGnAWSMgD0XfsTbwXxfAt7Hk2fbgDgIeBoTxRgjz0SMEvKrJaTFNuX+zuFmQzEkPD49
mtPprUYMkg68B3dJ1PzgDO+//FKy1J8lU/XcUVEvZDYhkCxOs8v1NL3wR8XFspvf/2CHL30FXAVU
yCCsKwJQ4qkS+TA0ZUt0saXmY2fcCeQ48RxPSRvrTdhlb/Suj5v4B0LJtzYnEYdQQIgU+JmDNlqm
Q6Prcst29WF7xg/8QboNR+WZOIgO8eH3pRG4z16oUkOjC2VUMwVg/ekWo6jiDZW02M6x2LGj6Lw9
6w9ZvJh7v5m302bahHjZpIbGvck39Q82S/eff25JDa0BSFBGoPXj2RmSaSVTUpBimx+Kow42uxyn
h+JQJf5gOog21am85Jc8M2MbTybEkYrL+/I+uqMX6kycyUN9mCU6gfT0kP9AM5/1/J2lPb9OZ5eh
OQygmSXb5Pkmg/M9HHi8U3XsajP1xraQOhvkjL2SpRnKH+nmW/6lIU5jRgTk6Hh/UB6FCQnpQknT
udhakx3QrU6irToi8XygNtVZdB1dF8f+PHWA3A27SM/ZlhxHhyiZT9o37UV/xA5WM/7A519GFakg
rCPGiQLq67m5Rtc6qcsx3/qhbfJTxFV/WWJZLsffP5Yv5cAdiAFsYQmhhewrro+33kZ1mgP3BRGy
HZc6WWsyVgbiXbFsvi/oZSiGQMQ5VXDzQmqmn52/GRJOO88dCMrYrbAjJAHgK/EYgvyBOV/EEgmZ
CJTNJGGCQ7vM/jJ7ZE2uVdQot0abrIt22ooN0UdNUcW0+dENT14cnL0ovWenKZSC9GeneyQqx3ZI
/TBGG26qy/XMn0e/+St+3J9XR3qjzquLZtOdh7fLYpqP6Df1g43iF8aTiBFKBYNETUIf3bOdOsCm
EZnraOO37rA/TI/yOE80wCeydWc2cfHd9234XJ4gECgRYXsmFUoraK+OR9vFoghh3ftJU/SbvogD
j5LvS3huO5BAKaf8M4lMMX/mifmYk2bM12K7xm2sLuqD9uD7Al5sgcFHAY1gQO2YwWF8uoWMSNrJ
Nao22VJLk/OgDfOz+8Fhfy5FcgwYE5p/ACpBSFH7YPxIUVEl+npcLU7WKGRb2nX5caUK/xf3IiH9
wdB9hODqZJDX7G+cR1LKiM5wOKt6Q7rInZYSp5eZrdvdX9MYXIxAzYMAQhmc8H2Z4LEUXc/D5NfW
bvQQsBlxOsad6tMfGP6FxkAKUdArpaB/jUHXwVMprgvT0vvGbpZURm3SD+DfMfHQwfMDp3keh/bb
gWISZ4pArQHM9FSQn7XOUtLbTTO10mDSNXFgdo4Li9gPRGFISeFrj682wfcNlntgiKEHjJFnAFRW
UzHUuqiSNM3qM5o1kuTnYmj8qoqksw4YCyq5tPHgGJxHXmVhSBYe2chEvpzf1CGrQlLbHqFtxVGQ
ps7yYYp7TbM1dnIWn/zq6DlAVHzIm9qjXTYN+DeatzLfoDVDF6Wgrk1ymVng0lTutgrJ4E3J+JQZ
1kEqa+qWtVnsR6JyU+R09CZfJ/5GADc8mrJX+CCzUNQ47kKkfQJMG182QCCVQLf4cUiNKAsUjqWl
iCRNXmYhITXqlndlR1MR24rq5YqKLGBtcpyPPi5pTkujap/LmNs9o8m6ano95BEmSSi78qKuxLjs
cGD6PIzF/EZVKyzUQZHJmnxhsMRl6uubbsx6ZAZV93NcpelwKcaMn3Yp8sOmlpbJeHIST4kY6wHv
QJm5NYWo0/NxtEVtwHqNS2o6YZf4aFpHw5Gb7mjmKPCnaJZnwo1Ts5lmVpZGNoV4PbkysDiUAdkt
z/FUmzxM7RkUXJiLNeSB79OO9hXoMaNADreoA/Kz927eFktvB3hbAPEEHHkB8VMWc5NM5VydtCHw
C+WgVhDnqw+dCeCLi/GMRLVhtmvc0Vo7kDaHLPPGjshBtcOJBhuhZ/exo6styAFeJepNhmr5ifB8
ALYzlEAhjHL0KJ7KofUm02WYY4tZtMZVCVUfiOZRelEFn/pNLvu0KA5rOemshAqZ625KslprGmx9
sZGRXrt4JdRpg8O6nOqhVUMyd9oPZlRTmSVjyVu5GVipo0T30/Ihr0ITmXJBdZ+UmgKEU2VbmYyO
7bLJXaUWQ1DE6sQ1857oLZo1NcTa/m3mpsIZwkYaTqaVlYOZx9QVB1IsqdrweVrqTd7ACTRdV7kt
xy3ZrbaZlVEDcA+mZs3o4lk3WQfeFOh7iZvmHWa2viPK8hvZIumS1o+Wxp63kFNJiD0HMy3wFfh0
4Ae9oCXelPD2jRW27ONISnU7Flq2Jhvk9AnOVuiAp0ihRBhavRbGVn6ezEAGoDX1wnN5CDSkqrcZ
pRFPyqXW1oxwnNZklQMGfc2o+6B5u8Dx1k5HNs7VoN52UDCwpvPcZnHnKtQckA4aseN5hOhm0Jq2
KsnJpI9dna6ZmcQErO7auD6c0qlx5yWHlRo0+3rZZdHS54dLBqmyaSBDuR1KW2Qb1NXRFaKeA9+U
FygCllbyxYhQprXRIVc07kRXTzHUQet6V9CyAmq9XStiohUKGZuyVOhDRVpCQC+LfEvmYvrgeOmy
JIsY2kSRrabYZrTeNVE9nim5Ig7OavkJt7wc45Z7/3akZLpUvpkw6FHoEapmaBl2HSv98RC5OhgJ
98U9WcYOypNykGelg2Q/oZEexjiLumW5ypcxykSC04znh11OVAGl1KL8VAHsRRtSsTmFum0Lt1ZH
9LQmeMK23/CR72nsJYNyS1+kgzNr37Iy0VDXc0lq7dHiyXLFGxy9JsM0W6j6+ohspjbi91nUMH3o
Kpb3B0p7QU2WDYVPJoAdzab2pF4S0RQDM2lvCdB6XcBnZCigQKQb3UxmaQZg9SvaNbnJ/eIGg5Fs
eDLWPZz0KFVpv83avgsb1Tqb7YAxywiUx/qUx0M05Y3p8xSgJ8tdOR7KPIXaX+YqnHhS1GtMc118
7EOhq42GKrI9y2Rlr2rwqMrkc7eGWM39OMfl1HkIpq0t+lhNDkNUCsOSxWXWDjfZODK+WSyr6fG4
5i05YB1eAGW6XN3PBDFwtXLogSYvO1HGau3HKea067PtVIjwXg8OynrRqrs8lpVzJ3XvCI5Hq2qQ
rOoa6pJ4SufTGeoT1aZbsANeP1N4ipkdpygZFYWq4VrpYoCtE3adNSPhMZ3H4lNXRrnYgKenyowe
Z9UhayaVJaXqIbTPYYzqGArAAzXrhIZ7t3ZQFOqi0EaGrwu9qPMycmZOGXgkVqgQpgR0ezcqW4gY
cpmpj3M2c5WIPFPEkEVBaG2KMYNrjzU8gDPLEeLTiqLctEPtWAzsc9fGg9XtB6iLeGpyipfJrGlW
FiYaOYFKUk3kMQSUCQ6Gs57Bc1XhroKie6+nD9lIl3ZTWrXCRcBLPyYu7aAMMrR9cd36CgJPOmft
XTqGrIFrzTp8lC9ChZh0JZIHGApdZQxJAXvdAiH1JujJLyZAAnhX6mY81spXlYlKOFEGeMuIwE1g
5/NJOZvHjsz0LrgquN0MySn0I6SrnhJc9GluFjsWb7oJdaWJevh/I4miw1wZOmfsxvJG3q9SQ7GQ
zPkoAc5kCzV66gFAyHxZd223fzyPvP1Ny6CEcWgPSwa8Igw1n3mF6CXcCkfLDhhv6hZc92BpAtgY
Ghum6IOXOKTGDbii21y75mPUyrEzpLDExXDiymvPeoi8SHSAOdjSlx+npYX403UBkBXsxN1PwjlQ
xox8OPA1a5e4m7rANhxx9ElMZOiMnFlP4gFI0CxmKPgPvaV2TKJosNRAAj2+q0kooFKsoGya8BL3
VyVctHgjUDldpcuo0SZlbAmxCBDnJKDFG1ake+eQAzSSxFFdrHclWqD8PETIicxoVTfurC+mRe3g
9m2H7Qg8zU2/WBxiCi51CD0GI48hsEJhvWLFGNfe56edt6uOZa/D5Sqzpo7ljMVd4/P5tuAz6WNe
+b6BBgeeXrb1ksL5Tmf5phB8TVBGVbEtcMX9lg1FQw5C2k9ZMHkBXO9Jp/Px49SBQl43I4LaGjAC
+WagwpIE6vV23A3ThLFp05kOuwCxgm7ambIT3XWAB0mPuI1dzouwQUArvNVeubCjUcavq9FDOoza
Ic+3bS9SbkZRr7OhWVCrYYNcLuqJqQZKsay7zdYh+MRFi6sTvlDyqcvXDM5i3+pmI+aU9waV5XQy
Yl5q46BsfMTnmkOI66j2xzUIPobDPhUJFmXXmyk4TbdzVnm94TUtP6XK9WKbj026aQvv1m3NAAyh
KQUQs+LVvhNUjfiiWMuoyg7Sde67T74rIqjE+omuZQzACB2NutV2Y6NODduCOl5dBrovhgcA//Mu
IiKMB127DOID5DlOnOVp5+bTCQr17ozaLK1eQ3uO8AdD7sm8q8Q8UTN06XydF0DJbwYVQfnAt32z
7rpeUQ8dAeCBcVl3CPDCXC5VXBWVLF4raIPozFo3CEG5Aa/alDatbEJolt8ClavulyXAzZQtbY53
UWcr9s7LJnWxlQx9YLDc7LDBTUCntIN87wjo+4IN8aqzOoorMhA4AaNPu+WkSKtF89jCpX0SgFgC
YF6XdtIbORURE0mJeYV7iKyp0ptKFOtvE1k03QQ/ho++z9g7CnS621WQ6EwGF1UXnZYlxFso5c9p
H0MA5xi6NzDc9ksioZ8DSJYiGosdm7KsOHHQlTIfRgOEESjnZqG8ghs2AvKqDnW2Iy7Y7HyaJjof
RCxAzAakL+2mh5J82PKlmOYjmSvoVKqypmuO2ND1zU66NIMQxKDgDbE11W+8GkNx3WTNeh1RIBZ2
6dzIcLQ0EbrVawkNC7ZE83wg0gkaG4aa9xNUs/N85rsyZKg47KB0k29HG3C7Gfyy4tfAek3yjDRV
pzcTdHcsMfI9i4xUU1Ynsqkxuywtcq2ZhtRCV4m2bLgnGTSg7foe0M5Rk5K0PipxgGaSpoEr+pxV
iyW7ruSEX3Vc9mcLrxf1OsJuZIkeIl7NxlVVxQ8V4ETxoUBgmyTM8N83TQqQ1J8OaIRA3NGRoqSf
lxG6CJYIVTvonvBkA+yArkwlmk5sa9Kw7KKv13yBVCqM86YuUaWMHuul2qC5SbsE2liibNOMLc1i
gcUKHkUHaK/AAvcDaHapUsj+HHTQ9eW6ThsPqso+UjRSbUjVuOEyKBaaE658oY6g98fi+EfdQNzK
MB7xCQiR159bfrps1NEOggT0UD00+ayD9fj0obGnk0uAi5D7bP5A5pVlB9VE2nnz0K+TsRTjy+dN
OrgIrj5iAdKms4fOHAn2RdCBBt1p24d2nAlaB6Ht4XEjDpQGl9UmkctBWd7zxhsB/UZtMgNSW2KA
LvUnXBdRe9S5NGfAwYfZzcePO2lyNMHtm63AkZyJF+0yeFY5P4cWeJwdP26PYWNRYOh/+9wO06EU
28kUwY7pESW1Yu9ahuDGfNblkkZrQR86XNDA5XQVlW1jY7LO0b1LIZHeBt0Ntw+9LHmzhqNaFVH1
0MvSusl18aM2FhbZmt7ZoZ3Sd/0MnVcPLSohFO5UF4FkMW8rIPUftaWo1S/l4aNelCZ3vL0mLXRq
Jlxlsjl+1HqydG3jDA/OTpCiFKM4bsYlAxfHY/WWNV4r6EYhc38BhFD+tuZ11h7hStbVYWN9GRmL
JvW+a0L3fnKpn7aQuXap8Rx1aaIUKypoZYxIBDk1W2YjphnwqBD/h71za64TR7/+J6ILJMThFthH
7x07dhzHvqFyRByFhCQQn/5dOD3TSXqmu7r+d2/NzVRNVye7NwbxPGv91vIoq+N2ZPW32kZ49RI1
zkHeK4vlwi1kuXQ9zpOMNx2Dt42XDpCbqbXgQQcRPPIeR0Tu4S9/aP0KIwBwsklfAYhGw8My6aG+
81M1kHOzgpG5WA87ispoJNPqMnqh+MR8GkNk0aONdv2ATaKo+nEVmSbxOuwFifjbHmuEzoZYOLoP
67VhOTTxvsktU563k3JOJJQgC5pwEjIk13bgLripK+ywnzG2tenRySQB2WRHqy8uYMOd6Xhi87Fq
Iyx4a2SA0Rinhs+TqqK7KCJ9eWj0kkjMJCT4BjkGWBPeiFodwqThPGvAA/jFalKGEwVvX42TgA5d
NmrKYPpLuvArCgTsuOO0lN5RYxLlWRdhjMkqN9umSOLSr7MIC+mdI0Ktl85wX7HMen3En2Neje8c
p15ztJWHncvhUWWZc8yfznGlyzlz3ljNWUdcpHMM8dZmyVjhGVxIOcoibqpZZJtz/TLpxLaZ8jBu
ZEtr6PuZN+tz1BHyYbadrE5J3AQh5CKHB8yrGm8+NhWv6nzU7drduWUIAXLRyRSWraGAFsGjNQvb
pkpzXHTXFaUXkTXrIGP4pwrLFc0WLZPPIqXA2yrZV1dSG9pmUzkEbmck0c3R2ZbdlcqLX8qVl/dR
U5blTci9dilKeCuHlXszPCrTAiBraZskGVacaTgorPTnNCSLPk+t5ne1lbzNmB3WM6/S0St4NOAH
hN0DW/SIax1mfTdB5VvMqt7VthUYzeTgc4zX0/RSDRN7CG28PpR9u+I/PFiSKSfpFCzYB2f7cQzH
5RNte6YKDukSOHBfT6dAdiBI1wAP0S4ohXwcY89/3thizJaETaAk7LKxw7GHv6h2Vkd7RXGBLonq
pjlbRtmojCQuuKPxIJPCayRek5OT48MsRfJWVby/XQZI+5nSfvshddRfcH8vg4SizKcp83kZ3420
GZZsoXF1r2QcN4XgnvsydNEEDnSuomtrfCwBMVuh9MVDFL2pu1Kzg4167u0BL3tTNvUALvI0Uupu
ZhYv90X6sCbXxftWVz1WrITTytuJxBFSRHHYcSDkgFKzJoHBcSoVSi12jOsBaz+HboAtqYJgM43B
uORYr9L5jMdndfghBThZpiGM6xwaVHhhZoqrovW7EcApSDyVJVEdk0wNKcd6IasmORCMEQ2OqZSD
z+DzS9DTgOdyENUxXAVY8UmR8EGUUfxiLCigYmlC/HATMNrf4srDodcM66CLnpTQIojW1dfGhtPn
VEk17nrD628RFQ7idTD3j3pMl2fA8/1tKrtl3Hsz07cLGSwIUMGnr4Oi3rM1s2yLVjSug4YdsbcC
VsAjG/WAfTLowSYrYtYRb2rP4HiIZuZnIbhHdxOVTnzQEGL9og46/1y3pQTq2pVYx0lZJp/lHFqI
rHW9AiiVgG3SekzPHQXnDjx1G6H0sLpwh2EL08dKTfoBAh4E3SSdupdoCuttpR2CBfOJAk4YtqYN
8q5S4vPk2sHlGMYCnBRLKV1WMyhgWRxFMsDP0gF+jhc7fOpmkZ7SMLRNHiU4rnPaLV25W90wvAUy
CbRw0QKzs8ICXhe2mjFUY9wxPJ8DnKvnVNj+gcSQNUwTAZ2VPo/fNVU4vzOG9C5TVcN2BsNmUCwr
xfJIdZ960Jc7+4XzBOiHjGdMg6L6yGsCiRBTX/MQ9CXZdVSG50hV1V7SgRtEAWAcZZVIS5p1ZTQ/
xRjpSmy+TXPbJ0n6rCFMfBvLeToS4lGzg+CsdU782Mu3lXNH+L6KIhPlNB3nW4FF7d3KbXcL+a28
aOYGULe8sy8khJS0j/GWPK/VEn9hft3FO7BKVNyEzYhDZhXN+k4l2r+phiS4erM/aqQbuvWLxxM8
RFBupw/VuphnYeYEmpnXuI9puziOHRO0fFaHrLlgy+9AWUF4rjJGuxnoQrpOHwMY3nhoY7p8S6Fm
4G9rzPK42JYCmIHjZXJ/9dNPobZ48PDcgQ1ecESuxTpO4iX06m7Ng7mkNoN4wQMcgHP8QA12W7zV
RnPtPb4OuEcxTGS+jaMOw3USKmhRQp66ZRowW1vVf0l8Gb/3YYmDErCuf1f70/BINGSOIgiXfipi
t8TA9OuG2HwBdc+LIdQ+XJK2Lt9opyaGjEgNYJ93Q/qScj7EEI1KyBx0DeQ9jfn4qQLWO2aQQTb1
wmuGr+CHl8fYpeoDm5cBT2bIv0K+xBFXwn1FgCUN1aXx1+FzD1t3yJjoyyULh4CemsA2CFjIoX5s
+GT83Bckvg+rButxvZZa4OYD2lZUftIFexZ7VmQqAjCdDclMx90oAwalucaMkJsxDL+4iug1j8e0
/7JCBcGzOscryduxqfA2TzigaYUAAR6lsp0+x2G0EPz3WXGNOxaAR4S67xVru1YmW0lQi70sa2A7
XouLs2vCdMCE0+Jd7kUNwTMXEXs3ywBTUauDAE+/6tO3MTb0xxXZmzDDQ1R+WgzsxizBIGzgdsUp
1jYS+reODuw5JNtQhteZiUCbBDPLZtivE1mymQNnE4uX6DzB1iY36wwhDGm2Z5aGkPh2ASIC624m
oumLxczApQXkBXznsmZ90eEi6qweTOPytJ0IzWhf2qhYIjc53C8jr3ewIktz1GtJpjwJER+44vSP
yN8QJuRXb3LjO2NY4SCg0ihIyK9WOEwvBKFktxvjZLe0h6Zhp1XehkFznsLHKGgOxOk97P6dCJOi
StPcY9POBDfQ6d4EZChk+IZCDYQ9XbDK7Jk9WUieKlxOfXJdAY7/cyM6hbFOgwBqQgqG9ycj2nYd
FBAPRjQnTD56cMDedEO1/uNPAaEOqzagBGG1JPyFU5GJtkgZ6G63Cll+AEwSvwljz9v/9Xf5lXOI
IZhF8KAhxzICZWX72fxo3U9xSIKVNTumu/WdPyt7hToRnxIMmLukZfM/xHxePw+bdgJK0Q8p+9WH
1tBtMGc1uxHBgGJwDUZXAHF/c0v9x28F3hJ/EkgMcOufv5WB3wsCKGwAovtAyog3HkOGsTWESnMc
wcP+DTSw3aE/uuvw8YMAXwpYN26MMPrFy3fj2rG4pUnRb+faEoZv/DnCAI/FAeK2dzvwrvqbr/jr
Q4OPRB4R3y7BMRSG/i9fsalJxw18vUKIujwKr4e+rSekAv1h+Jtv9+ePwn0I7tbHayqJkJT7+Wp6
0+qiaDGs8Eg65KEcYftX0LoW2/3dD267UD9fSCQ2N1SFEEpC3CM/fxQOr8hpfN3CKznEOK6SqFAy
wJL017f9f/qcEPQ9bkc8ADH5hSXpHBVVWtZh0c6UHlmMsUIsMfkbLubPt8XWWhWmgMCAK4G9/vnb
jG6CLw7OqIDxQO9xrMcY3jzS71vO2xfTITOZU7P4f3Nr/PnL0SSEw4N8QoB8wCut9eMz3SVBOTsk
1oZIjHtEmoKTZCPf/9NLCIQONHkMTAMk6RaX/fHkqBu8auK1DQueKHtmNQJdOD7+6XnxCrRtRyBN
gcjgyP35U9jSctKlTVhYMDvY532bd41a/gYt+vW8wKeAPkSJEtIeSGYQ+vOn1Bqrk9EjLSK1LjBM
ymCPZMCQQa1mRe/X8u4fXzuUzoR+jLMiJvGvwC+bEVaD8kmLoAvMXnmpvY/Fsnz960/58+2H8MlG
A6aMbW/Y7T754T5YBWBwKJwUWm5EbmsW04NhcnpXDrF3t7ZwoHiSYDj860/982mxkas4KmIg1Djg
f7mWqVnTynZIYULiXJH9gzpbhhrBLju67x/1ezL97vvB8D1a/WOs6MeU0f8vAaafehl+DDB9z8Rv
M9NfxJgQyKqHj/1H9Ud5xR/J+O3P/isZT3/DxIIJy4elChLrx2Q8undSlLgEwN4A/qRbfOD3QBPy
TFv2Kd0axqIoQPzi34EmihRUitQ8ovaMAl/HPfavuNZPPz40Avz+/39MAuG2xC358/kfR0BY0WYG
MA730C8n5hLOAa11ZwvAX2/hnIx3rZDL3kYbytB2z3Gov5l5BlpAkXCeA/K0ynAvG9l/Qcq9o8gi
C9UVmo0gLwRb+JMqkcxmM3Arnyzh+3Up58/z5BYsoWaBcJaMnWAYHbvwVK0xCfZJFGASxe68l63o
rxUx3j3SkMsuoDK6rZNZPgRVADC+jrsGYZGEtAXe/v2+7BJuC28us0Cu8Z6CAcjKDmRDDTsXB/WQ
w5g0eZLy6ppUVbkhRpG7xKnNMHLZt32pYJ3YWmQw0KqjWok+QIbR16FO9d7yNLpVtj73qz0xxZ+1
aK44E0+Bp+BqDWuuNPYwr/u0JvwY2x4owAiSaPKWz8sc3UsczXRKxqwiEl6EtlgzzPuSdx+jGhwY
BKAub0A8ZAaxb/B/c39MbY+jo3ymrX87xvYTfFQg8Ez2mTWQz1I4TF4p33BL1X7t6cn4oKRGEr3H
xvZk1aRg6YgDODWAVUmDHafv8kqwG6KqQsa8aCfIHcl6oobtO6glndI3beCu3FsfMTB9KnX7ETv5
t356aXu7H9d73YfZ5M+XJJI7pg4J3p/Qj/aD9h6qZNeMyXmQIySU4Ar2bzfPABn9tfC5veG12En7
ea5dVgXeDl7THTCZ/WruqzLI3dgcA4ZQSbic295DHrdF4GzgB9GBNK3br3jJHifPFFPoX5HXfWhc
uB8xtEP3aK6RhJuglrwCEKLgw+waCD4F/O8YJgfkLy/pB/wcPHuAj5Psq7ANM1/3N87Nb6We37Bl
eT/b9XPvWrhUfQDCblkRGA0nXHMWfpX2JuAkytp+GQtQEnWOs3QPn3rOhI6GL8Jb+A7GMX/wBifq
bCZpdRcqgwgBlu8nv8Szsi7S3PXx6GdGlSesgM1VBFP/5A8KW3QlL7peeuhQavla26G7BMCZWoh4
s9pb5tZ36zDg/sWqcCEUlxWwVwvDREH/cbWid/2i3ofzNJ6SUM8XiNvL06hR+5tXNIBq4DgT92sJ
2QjGt5/mcO7rozTr7TBx9tAnwqGDcwD1OARMvtH1NF7BYY47sWh+q+aa3qOFYaJFwmR5SbhcCkvj
6G1v/KHd4fWa3LXNvNlfq34PjShBGQShV23dlGOTlRdo5NHLZNKB7xmU+hN1ldrPtHocqOCHvvXn
OzP3BN+r1V/xI0NgUip1rNMG4eHm3LbpGdb/nvSsBrYIs5WOYFs0hW4OEZTvO4c1DbfYO1n56g72
QYwnPkCuuOhWyOq7oWTQotGxceegFuLvAP0ER9wswzsx+lGYTxY3uArgGGXShVDyYaaM6G0om/RR
rqv3MS57+1iCR7tX4yLrgpT1evS9OnqnW470+4hEUw8DoxafkrVSQ7GIDhKEGxaa5rJZEV6BKEiS
a+PFEzmOgaN5zNmVCgKhO+pjF9/2UEoInKHEHFZwWecElQpiF8eL/37ydHrRpbAfXKV9geU7GPcV
kKW3carxwc0EY2lshzrILByDh1Au8acQ5s1Hr2bpVycZ+jIcKjBSbypvAznBX+2wUjwAeRuSTNZO
FbMql4uAgRHn2HjTPQgTWNURGz4PolQP6+JQR1FBmTVgzL5Z1tMVZIxN49xPeZlmrVH2PYNb8j4d
4vK2L/0ibTt9hORtzrUy35SfWtC07UK+iThe7xzmZCioJSgjxFpKXmiQCuUW9Eb+Hj7z57JK0hME
nHI/2NAe4Earg4yG/ljpUb3r9NK/Gfoq3pcmHT8NqQRJOMrZPqx80i9hJKIXXUP3jMNWAEE1w2ZT
edEbB889b5rFiF0XjOu1x4vnnMZzDY+po8vNPKa4oZE8jRMnTSaG1F2JKasLMKTuoW+ht0vTzBfM
wW7MK9P0DzhcugOAHu1nTHPxFud3eq5c0/JdGVh2y73YfoEyHp9bylSIkL5KnminKEppSHlpCUcf
QBtNHGeXnO9I6eO8tqPvPTWsc/eQtaNj0+G8mDgar1DsQNtLx4Awa4Bbxiod4JGLnCwW7dt3i9Qc
mpNFogZC+XpqTDPtNvLjbuGr3nmiAQcb9+KmNcOcjyDUHgjVCnF9Iv0Hq+gEs2qoXhLpmZxNMEbA
jhEURnT+BGCh6d/HEYVIWJqyfJeQEbxOME3eg0yEuJA5jQoy1uZDNwi0blgcDTeOd/GzIiu6ERqV
9nmH2/A9FFQ0qvQRDMg18W5EI+4BTcaXZtL6wPC+BQ45n2ca10e7aHZOkxqPRrrM0ssoECq4vQzS
euRX/m1VLTg/W5gcj4lR41e4gmt0oOE4FShMKfFO92KUWyy4H1XKli8jOEvwt2Xkf0MNBgophJ8W
AV/9kzdQfVqrcIL2/uqOwdAdDp7x1A2sWCjLmH+Gdx7KUoIMjqE8VWXTXf1x9L+UdHYfhzHkQxHX
hN4C1or3ngvqs4jG5k1i2rLgPNbHioBbrqdKqUyQ1cU71TMDp7sBelqmibik2MLvDOPeA2K28Au7
BYCqhJP3uarS7rE3IYiezRz6HI3AqTUf1YsZ0vpEKqkLrWu1L1urbnRYhTc+4eIApXZ5WzlgxeGQ
8AdfoIIIAwV5j46X5VO/OlRaVDEW1Y37pLdw9poPA94M+wW3/2NfRnQp5pKXgFvMAGlKd/xhoeKZ
TgCbsCTupnEs89LDoDd3FuyWbJaqiCWPHUoXRE1yu8CsAsU4TUfEFcYbG5eXtSY3ZIBTPKZ8vNSz
Nz/4iZymg69xkUfOwSPVTN6j2WMGw6nIXTRFAvHWgdwnk41vLXCYHhjYop9QCsO/R3r/t+D8Xt7w
w5KCneK/Lzh/buD+o6/h9wUJf/6PJSdNGOrasOmgFRECyL9bG+Lwt5AheIp/hgprggKufy85WH+2
cidsMogYpUgG4k/9u/5ra1fE/hMm2FhY8M9KG4Bz/PWSE/2iaTQs1O1C2y0MQuyFTnJfqxhhBiC4
oReeGZqbMt1PX5CqUHk3gh+QAiQIxZwKP0Ix9zEOmmL1gJs7gGmJDfWubQeSGY/cG+2eVxvv1VDl
AmN6FLqd8sJ9ms439cJuUo2QiyDBsQWNgp4hu1Nx+QS4KosZWk8EpKOiHJP32mmzo4l3SXv0RwwK
hHUfriyXPkztOJktSDjAgdah2Elp4MEp+EM0Zxk43AixXhrRv+UlzC54lTe934sjS+IbROTTHPVe
cdGWovyW+PjX3TbpiErC6ZSN2w2JxiOMOUz1wx0SUV+EsvpIQpnsOQ23qbM5Elyso0+QHkLZloeq
CESTiDqvKq72NZGX2SnAAAzKmiy5yU1ivsqy6zIQp4DLq/nKZgGOu6q3ANN0GI1Kd7MwTxrr1z5x
3qHz6HRVEwzvxvT8gGBeXYwcQDTWzShn22zKALVdne83+ayCag/GNPdmgCZYhxqsGsFcKIEE/gpL
LYcAfV+36wfR8Qneij2EaXgjhbhBBCjO7BydAmcAhTSFwlDMe13MXlIf0YqEf8BSoGtTnzdqgs8o
vXsNQROvEgEAYxZFItOnBcU9eTriR8Gq4Z5GZX3hItAHuVFu3Zx6eSPGh6RdBeaO8NpH2uyhDYa5
pycse7PPD/5Ceb7OpsXVSo51PSfFim65fPbDG7iA31SalsfezENmZOjtx5T5O7FtAbRVz51n7kg/
jje6xhf06urDjKjYIRYxzLkaOStUH8ENH0CRoKTIu1Z6vYKLkHuJ8xOSaDxkaYONFag9y9vAo3ni
8xfU9iy7BJBQxYHfNCx626rhDFbIzwcflheEPA9bPbsd++Uae2W302EPOKISVwzZp9JgGlqR6NmD
RJZ5r+lhsO5DrKIbvKxnkOW6aEMi90rhgtOuAfneiDXvWSvzRaz3MavHOrNi3cOkCW59Fk05vIbD
WrMm46FXBKi32vs8GncKZBcgZIebRIx5ty1q1MOitggk2aY0OodhEl9xw9bFuu12ETFH5cgVG9kH
eJ9ffOxpw7b+cRa88HD64Jx5U40Kk1d8w7eFEfGeS+umBQ8zFsk4xHzWbMtl13fX3s73vvU+qrS7
6Q3rMhQJLbtamgMp7W5i5TOpOux7tgO4MAM1s2iOk/wrCeheYNMNqqYtJla/9S09dM1QGOsfJgAD
1rZXGdXneo5uaOrOnkz3nMTvWS0ua+fP2ZDSghlUZ1E5nxTycpm/upex05+QG38SwFW3wkKAFjS5
lXS7wvP0lTqYnADKkIkmICdC+5wM3rspNLCEh+4m0DXCJEFzT0cPVPUCjzkESC029YHMHmxY5V4C
aAgpwiJHeEABcg2wSVGGsx1i9qInyvIKs0mn2b1T/YFQmLE1QXVYulM+shZyTK9GdW9GNn1ZPPC8
OPzvZ1tfmjp5TpLuuETA/ctu3rG4PmMNeuNScVvH4tzq5UZ7w8MUxQxnK6q1OtQVZpVurmMIVB8q
dncYR3VCJmDEOE/eV9YtIHHVvY7Enbcgt1hz99DMzXs8y0NGF4e2A3JFHupk261xatOCLBC/elOH
gHs3Zw8rcNYF0w3yI+dwVHS/SnWFOXyzuvS2imeTuUoiyrCwr3LhZ3j8bdYDJTuXy226SVCmKb/p
yOwsk7jIGC0Jkjg52XvFJOVNa7HxIjUJrRtdhaNDxmX0ABYg9QDZTHYnyqQpqAjloQkAOs1MvAgv
xJnvAYDppvoLAAGSY12O8qUZ3xpX9Qc/KkuUnNQ9bPi1zXHZoY6k/AZZszYHXcV30H3eWPCWWduR
N4y6u9itXrHM1dMyW6RdovJB0OhJ975Bd2A070oO4zqN0dvFaXQ/B2l3kfQ93JtH3Zrn0eMfELrt
diZRAclI0J7RgolYgbQad0gM+k/HN4gdQW2y7adYVPORKy2waqVYW9Gq9xaWEds50z4YLwJZq7jO
I9u4p6hV1WFQs7lUuM6AlCJ9IWNT5p1BRC1YCgnQ+mQkKMiE0eHgZjogYqRvKygNj5XAmT42KIys
54NL+5suDNcvUQAB0Et4IWv1Voflx4DjuDLNFyydh3LFJK6tpI8yirovOEr2a50r4VDeE/l3UTUs
OXB2HEMesLe46vIa2JRoLq3pHloIpZ6bYkQAkfDR7IgEV1KMNQsRxCVB3nZuR1j93ez636z6p1l1
07//+6z6p1/l9MeQu/3BP4bUBE1X+I0cr4o6RtE/htT4N5itQHrhtIYh7NA/lPhka69FrRhGVyj0
8N9g+fw+pLLfIAvht0vBnwU3gH+H/RMl/lcd/lcs4BfrqPm/YgH/8fN+MOw3K+sHq+r/bNh/b0P6
0WlAlS+s5gjQCRALmBebjfXDJyLPagIxGuTE7bo2115Y9r4OJQcViwn3Q4OXrtvF/Ujfu7GVJ8TQ
0gd4dNPX2sgePaGejVAS2VjoWh5YzSc6EOSSV08tYLi2Gt8dClq9lzipIX9PydKeGDK7rODtUt1J
sg4YE8oSUX8OXtqDCNKJS1BawQthmmZC1rYOTl4C+iifoNbemtZjiBHOWHwh4WJs26UmHJ+W0kEL
T2U65ypx8YyBtxzCPe88VBgMaV+h3kRpFexpk5hHGnmA0vzWaRy6UbP0OxxQ8qVTy4IUZy23fgDq
iCnqdsLqm5RdFV6i1pXTron9qDmPipHhjMFY9AcoxvMxhMaEwlwM1i5rdMv6/RCiuyOLaupBwo6g
QAEcdoPv7Z2A3YiLFXhVBkoWmVOxBOxFhGSFHkfQdVQawKFxxOUV8kb90HvJ7Lb4SnBjXJe2hyix
CK67xNS3eu0Uz1ZNZ7LzrGmjjEIW/hBJB9dlQlvsuPOGLr0DqMpiDIlj97ZZtlJUKSm5owlS33uE
5vhztZZjheEQYZc2DEx98lBRHSB2XIHCo2n3EqDC4Fa6Vq3F1FdkxQhYTfIoaqGTvC9ZD+thxCTX
d12L5JsL7D4FvF7tJkkitO6VqyZZqsqgzZFeXYC/410mITC3QOFdIob6NEKISrIY0QR3kuDDEdJN
5KIO6MDxv3m1LocdEgrrUyRWu+5qR+WFLi2qMDEKT+HB9hBGcuD/SGxEs1d9m6Z0VMA/8doGc5aW
HyBNRJ8ZUtoK9Be10JuT1DuiT0s9lth4kUPtUwqwcICJlkdicG8NLc20k4rUA5IicYcshXTkJkiY
glDjBbo5lMgc4ndoIJQRFr3tsJpxZ7r5kCAavwfqEOlThcUVwLa3tkilG9BHSKLHykNM0vh7gayL
V9SYAhyyUqWUu3lI53LHgjmGwmR6lgetTZA7SqWCxh7QCSOTC+fzaiOBcaOrUBTg+R7+d+pR64NV
hOa2HesZjGjlo7UQCf8uE7hxTz7AnAXfpEK0yVVR85QMtlv3uK1AyoX+1KIyrSZtcB6rofQzG45p
CkS9RrWSz7SXW1N6yd4XDEjyqlf/GXqB8LOm0au4ReoO4lLgVocu4xn2BUhKKl4c7uq7EWCV2Sd9
AnY2VHBesaL1y/l75AldFL6DUd4oXfwYfFqxxVfZsIpkPEyov75i4AhVTl/TT5j/5FBMY+S/iYym
ZdEF6RLuvwehJjZSsfMWNHn46QjVvw4iIN+lI1CXv2eiaIzGWySsyPQRPBk6Y8tp2Zg6iIJIyuIU
wDayZaRQ3Zug/iEe0B8UqgqXc7WE5+gQIJe22mqV3dawbLHk40K8Fi/7aN7FdA0b6oNfrU4d8c3E
dmyiHlnMCJue2q3HGYQnxM/qtd65fa16Jq+1z/K1Anrd2qDN92bo6LUmunytjDav9dHpa5X0/For
nTi0AebTzMr0UCHJ/HFFsftLCpunQtxvq6buXmuqo9fK6n7Ff8y9m7AZZPPWah29FlzjZgb1i2Dr
gODzaN7FXbS85a+12IiI+1+8rSu7kgRnq90atMetSzuMZAx+020V20HdoG5bbs3beuvgTiuoGlAi
k+UdHAb/FtZm+4FIVFmXrxXe/oQ2byzLSEY2xq0XxY34hPCcewfEExXgZPIZA+o9+59EAOEF9txW
GG5WiwdtqbYicQz66BTf2sXZ1jOO5X6rHH+tHyewz89ovCw/275xche9VpUTqGLP42uB+Ryia7l7
rTVf4QPfzQyhoD2QARSfI+aCIxK+JArRq2krR++3nnRA8KhMr+zWnu5QuZ4ZcDRB0fQtvCNPTUlz
nF6L1+3WwW5e69gRrEQ1Oxx01LQLFLZv1N9Dy5yHlbXrwGwjMIg3RMLbw+T3lud9iDdB3gNCvYdU
rsle4s3tF6b2ybRrm6m+7cGNVTms5P6pSqf+MQpnu6WDelSflt74VZVr/80h8dfiDHNCb4I1eUSG
QhyDdEA9/cpqIKJtU/eiGBa25WqsLt9wlFfPMLToCeQPhAxdGYQkonqABRKa4SvZeiDy15nwf9Py
n6blrarxv0/L169//DLJPwbl7c/8a1AOfvPjDZVKMMMF4Byhpv7ewQs1F90z+A0PYUgBqKCf6Ac1
F0QKqjBR9YZpA0QhONPfB+XgNyRdwRbij5KQoK8s/SeDMobGX9XcAP1jwOC2XylBaJL+ouYuGgne
uEoHYAYzmxGma8OzTEpszrZBZiNLphgyLAoa1FMyoiHnNFGsZim2vW/8/7F3ZsmNI1mXXhHSMDrg
ryQAkiKpOTTECywUoQAc8zztqVfRG+sPmTVkZv2VZlVPbdb9VlVRERIpEe733HO+U3niMlngdC4j
+e8ak3OMB0J0VnzPymJ+LTCt/kh6GX3X7Xh5TGbZ1rs5ntVzES+uX8I/b32VTiDVM6beiyidCj0m
XU4VSTb2wYTFnqwCHVTNtn4cpMXy2dlUnKIs2te6zIvPdO3so+RFHp0qqd61Usx3dT1lJy/VVt/y
svH7WpNb8/RIPNkC1USrNNNXetzemW6OIFSb2skjjXJMFwv7q2e2SDJxzC5KVUt7yXH4v2Wms7kV
6oQTyfYarOUt3g320sABcnXKePkHyFXRt8kGu54uAF2lUQM2AJj+ZXaGITD4se4QvgHDYBC9DmUh
Hi0vWcIRYj5q+Gr6RTSJb4RGuO3y4SZ00DcnwSYubKuies8WZcEwaTyX0Vypx3SU1bHXFjIcADH2
HGBAfNyPPEuLcOya+KC6RAaKygPVt+Km11KbwgFukrten5uz6yzO2Ska3BSG9NqA52C6s5VZn2o9
Yfpv6vxRVtXs1wJCBCDxxfmm9BHxujTx6LdqVgcv7vPvoGayl1ZnlTtE2EzUsGAU0aPzVJoOSoI3
/PBQ2Pi5lbhUBZl/X2+g6tfs1FHGxiWI2tp+GuRi3oJeL18yaF57rR2y7x5UmDMcC3EHdEqRUovQ
yxrulthvqio01g71dbEW3HmLM3g/MTPNJD/gSLBlzFJNUJmgXodZHqQ1v1Z2RCaikPrXRFGK0A9s
8PIuzYlgKlJF/HLxTqz2Uz1N6tQbRJTivCKyUIss9/Mqme/Xahz5Y51dc1xW3s+tWcDesRNGeZTY
tmBRDKx+q1S8SFTV92ls6p9O386vDQvJALsrLARvSYC/ZNYp7sf2ZcSxfI+psTXZDnba1fWq9CHP
suWBAwDdiCU9tIVYcqcGtEzKd8W5z01Ir1GKe1AlgTHI6c6Z3fjWXeryPELhOcpca33GClvs9EJk
T8xU0c969ljhzoa5vDbemEMr0yLzmCccxd7c5PCxlZcdRSGLT9cyK9oF2pJjTcJbBRcUjfhjO6u9
cuMvn0rKTPw1gYDAmzTqt8ZcC59xNHtYCheVHACSdcwNFf8gWGOH1pQkR6NM+tvC7L0f3uwZYRbr
7FMk0jTBL507dTH3P8jGYPZpnXpVqGpc5qTfV9ridHcxUcKkvoGPcipYqe+XVrBVbjv3beS6EaZm
P7WBEc88QLLEAUSorfrgc8+HgDPN8/vMTf8nWwkr0LD+vnTNWA6BqniEhJVTiOe6qW0J+5eOOPZO
I7fFuEDNrHFW6KRbpFkggqbydloplPAhsLETB1WiPVaJaKODUHUUatZqlreyKVRgy2HoDqKAl5zk
HVmxdbSe9BLfX0jBgU3vwqzmrwkGGH1vGJi/sCR0F9pA2P+TZNiZgzKORpIKhkRjwDtgJ4N3xdXQ
hU1h6Wdr1tx7zN9J7ceJmg2/KOz6Z76a9nk2VXoRuGVDJlXxXra/5uSNyFkxt8XtPeiZ4n40CGIV
ehaP+xFPYTAlkmGf8HVAygk3Vk0wvZAN+xrjJCtwBzj+NtWTFCOCdXbmQXg7pxlgNQFcI7VKBvzi
qDLvflxp63GRfuVKjnDkwhyWRl8cERC1+zl1rT2D0/jV7LyhP7ngCbwTDTZYp9qsk3tKAAx1tOyx
/6z1/mDGtQu/UM1ycu9SobivuXNjbG4EXEBRFmtfp94+95YXUjsgawK6m1WocQ0Toovl5muwLO5h
yuL7WGtvQAagRzSby6gRm+Fo+M18lA2jr8PyCm1yhufuV4fSMMjucbTX8ctSq/ij3axM5W+upnmD
AQDDAAhElm8IGbEce09Ionyemq6STLH95pKyivbWnrSQKXv8lv3qpAJqhauqTTb1BVxve79stisc
f87mMMCPRSx+AMvUfNZDbD+WS17waI8Mr9qRSa7I989OkYRyM4QNmlZfSMJ1+NE665psxjH8A/0L
9A/9RusG736Qa5EFaTaJBwdoAHH8De1XjCqY27g9x/AWArla6rRw3X0hLM2GjhoW7sYlUzWIFfOs
IH2ebLBWzl6DexcOALsIv8Z9spvKLetN6uoGFLl+EIvwjuZoO/tqW7fOSZ/dEQwdD0zoiv6QjtYd
iHobXWZLA++miuxmnoHyS8kkW97OlATn5rG7NH18H6n6RizANZz0xrKq9GCvUwoaprw0qm64sKNS
7WVu1z7R+Ok1Eb1b7cvcdbmcNKMdTPVi3bV9kTekAE15KaelpMmD8PVDW5KEJICaLYcphmaF78VB
E1tXZAAKUYCaUvXh8T/kfV7626phZ3eN/ZbItTqW08DOsZVLxwYWvgfpV6vK73vD3N4RY7SY46vG
PQH0kLHvrZHHMhtsUH2sq4FVNPvk8kABUlOSo4yxzwxOWvm5UsMDhj8LciJIt5KsPCP3Xl809xLl
XXU75wN7EI6qpIcYO0/Yf8leBkarja8G2BBQk1HubM1ZsgdiUwhMddNq5eSZ08ZxkLKq73Vh/VrL
AogNN7LLPS8ppjdZ2cMXfbHmazsM7RFa2KLveqhlm082wYKrFBM4MWYvHMnGf9EVD/cdfSZGQfQ/
i7ePriRUiduGACeernUEsSCzVx4/47ojQ8SB0LWFW4ZD4omC4UbHPdcm5ckYG+gmWbdY7NMVy9aG
2L23xww1XHqRS4qHzI7ovdc/lJAfHyutxVuQuWV8GBQ+od1m//Q7oWuP7OQ86qXAcbFEFqJ/lubo
HQw2+9F/4dq/qz/Lp779/OxpFPlzjcgf/P3/11eP/FvnPkcvlpG/Nu7/vm5yG3/+8Xf+Pv04v5B6
AftlIPh7m2Pln9OP+wsJH90QAC2oAREOmvrfDPvWL5bJnoDpx6BiTrc3L//fph/9l23pgOitb2xj
xwQ9/J+MP/zlP48/2z9PaIDwIEOC/HO5RJJVVtTHRudXTpzeaaSDfaFoHcPTqckDe9X4CfBSu4cm
WB77EUEX1jFYSU+zv84iCvjMvassH45JZXmHtIux3CfASIWrjBspkCgIw4v2Z+/J+ACTIr3tctGc
pz6KQ5QBFm6IYHsIDc6J4iVFqHn1pQTNXiIuFkue8vyp1EV3JumXela/p3nNgrHig2zE06FLrUM6
eu2doYnsiFtWL/l6FIXhykAX1phlDgO3hKBfHWPvGJX1luJL4Ijh6H0TrVl/mbDiLty2EvsCwa9+
MmeqL+Q0FSG7moWFeBkdzFGAwJhqhIWCAeOApKiw8w6uCGL2hPSk2VP8zlEwPMiSRq+5lr29z6U1
hgLsFbL+PHsfnZ6aF7Re7xNqFzp3Vk5lUGmVt/re0rXnhPELV9HYVx96vYBbxaZdH+RU1S/9oMA1
zm1ZfOKlhyrVa9nyNcVeDzuhMu2r3Y7mp1ZW+hMFjeY1AooQRtasX2Iryx5yR5u+s2pcgXoA0zR8
wGEDZ5I2dTdGGQ9BopdWu6vxXplcmcFm9pHIP8ZIml8cYL0vuo77et8W6LRQSrizgKYusKUgyLzJ
aZGDjxNjBry7aF8W1zy7aQWDj4D9cYzy9WsMbg8GSFXi1vBy6R7GlrVoJN0gUiyOIVnB3fXKaY72
ZpeRR4DJsHocUXb+YTVYKzE266QPOqsIi7QxL53Kqps6H3R97+pRflwiNd3ms1jfIldmD5TONfm+
HT3r2TUJ+8P76/l+YPSRq2+ZC2hLHA2do6quy08tcaK7xVgHWghL6HA4ftumeYbrh+aLN8HY157+
EuGFfIY/Fj2MdZ6965OhHWUJzCVLk+iCRdYNh75PKbFTdYopPasf5JA4wdjY7pn5LLrp4/Y2mWJ4
eRjDrNxla518Q5xInrPpXDryZEwIyUlcYY3Vx+pcAtsLje7JnsEHi1uy++8FGO+gTW3Optq7neLx
oVoJjebT5+zlTDuau2O39NiaI5MizrMsvXemlatYCiDZwk6LTs8PUDxMTse+mb3LUpKiAbiAUXO4
m7Av19RKzpoK9JrV/iieDYIgtmvo9/NsoQ6yBGjt5GHmX9V7NX3MiYnLp3hUVvs51/Otg/4GCsrm
Ktvwu+xdBjzQKaJjOSusQjM0L7zs2uSbc36pwcNDOE7KQ+6d1fDudt+3Ia9im4Za+1ivgChn99kZ
sEyv2XyDZb3yo9gmMv4jRhaZNsZPI/ZQPbAtvZMaAJis3+IVy24E3IehV9xdsik5menIFiEaAZeA
dAwN2gB3bRate8hUu6I3KcqL8EDgC3EPMK3QzLk6XkCwyEOtu8UpU8UXRGRgryV9cQbsK5/AELxX
y2KCEndQmqDhgDet4fvwfpsf1VgPuzjSF7ChGEUkurAvqOnCsoE1r4uiYs9zLuFP8yoAaA4pzlmP
A7fytCNB6w4ZWEmJcTBxGYIccRunfRnMoziuRm7vagfGOVV9VHRa5Iay13yCKdYjB/jGkFC+ISY+
zwYYCZ2gTz7jPAAM0OMp3hVQm3aR26UXPlD1NarxqUw4t1qJVz9qT6sRd8B6Hew8qgmxJnZf3NT8
mavmxeUqtCwFcNSiPydpRK9KP8sgnQr4iBoY1okIUlXJr4TR7rPWOmgaP/bGjXZNTA3H4GVfgBhe
y0y9yah/m8aSbsDmLfdYIiG0HStwU77oMm66s3wpk+boLmOJI6ux91E70KNRTuZ9YquvMGYcghmp
Sdfa9IzuON8YffTNbrq9wkQcx0aOT0Q+6u1IDSclBkv7BAvlppWmxlSy3NRNF4K8mOkxJZUUxRLr
/XoPf+SYMIND6b1Ss7nXEmMiAVTdzTDJI0duijcnkattq9ZCno34w1om0lTOmafznoGbUjm5m9Mn
T6P/Q1wTmz6/5KZrbWpeubQ/a/Ot2euntB4JxMzmywyGnSUFbo+iuegJbz2GsyRQkTvuYxr1MFmy
dcWQP7BP9XVvmo99ZruYBkufyRcAC5dMbTi1hLYyI9DYpMDdzE51KgLlbrCOggqwPMaUFzuPtZXc
Lqq8N1bxZiRDFMYq+YwXzqWJ5e1gduS8eMfStfzhDuPZNa1LKSXlfylr4/ycFvVNZVUZabXmWdjj
yYhRRxMYPSGsz3xv97kZjtGqB2DR4x2MnEBPqlerBUPrDTJhy02qqsrCnvekl/UDe+2LO5avzoDH
z/TGB0xt5l4M34tUO0BhZuCNXm2RjnBBx+RkJFYbbJGZrwQBw97NgiWy02cTaKrv4kLfpXAJWMEo
FUo7VzcIk86uFCy69ZHnSu58KSfqamK4hILWqVB47uDPic2EL8sTUhaBEpalyuBezUeh2s9SMQhG
xUJKpI9DqFTrsbCSb1E8PKRxel6rvic1BfZ+lSiV2mzVt3zKn0fj3QSC4luWhVtHy5tLkpo1hklp
gcDzVh68huXXa4SgYCfTriPVVujOKeG020dSu4AkJSbkDNmpsBdxzJWevhrAnS56pwiEGGxVoHnK
n5qezJdx2ibkaVhtuJ61OHbSeiMjgIqTyvkk9bU6TJgjcQ2oxrvDyzUBHmh05ZxG7kw/SloqjVBo
ufkDJjnaU+Is8pb6woggnoF5s108OAzpmKFYRA1WeaOldcClaG7iuGJyXDFMGlh8i7jlG7GKsidh
yNc+5jZLcUefFO7JFFRYXEOV6sv+bonxj7KQJN8nlfNomEUNEFSYj00BVKJCaj9zmwT4qGrCKTro
rZ2pLyl7drlCKYIeFyz9PL22EsvzbgLOmhHcFNbBNtq72I6rkLvgghim90d91S7lYiPXJIV76Su7
Puk1Tw427w5MJ92575Z4PpbdAvqoWNKfdd98nYakhwsVR5h5x/XbFnDbxVpqnftc3SaumMJlwKbQ
jiwvTTC1ReuGcRF/0J3wUxhjYJjeg9066cHVuu/9Sjp9cMsFzE1ybOb64DidOlgksX2vn9wbXU6w
f1Vzzhel3o0252ZpGmyzXJ4/FYsE7Hlqn5XAAAeN/WJtqm5Hqma8X+o+OmRR/5pm0Rm0DVaCWt6S
ibcuTqnIawy5/ZNJezrpk/ZlggBDfpBrygZwCCLB41kbsHLXUe5X+WfFGDrtjEkd2Ir6yTD4eqVd
KoA8O1jSnJ7JHCzSfEb1PCydteuj/BMPySm1Vuwt5FACd4lLcOSDvOYSszXPlmf4RoSO0ig5Yb2o
gxynObBt6mcT2e9n+J1h0bu3LvEgUrjFNaMz5tDQSOObabPv2NzwLW4jSdKA5i7qO5UbR9ocpG+p
VN4B/lwBwbsUzHbL8qiJQb8dwWL3ZjeerGzNzka2WFdFTjN0Yvk6euNFFPMta+wxWDLX9+zoUEQU
Vk2FutFy54wF4omfchDp3oXNtueXq+UFSb99CPT1y1o2iNnmTYmv1+4w9OgRA0vCvH8UfP7B528/
OBb+CO1YbJvoy6CvOVA3+zZXX6OaGlGe5DbR5n0iyHtm8gHM8I+oP7feHOhjf+NYwwX9mraPJX1b
LQ72VL1BFr+BoP+aDjwikD+yQKWaHRSLKOBJUuDQ0IMUm90QMNM9M1fyaIFh4Rck4vwJGOR1bkT9
3VRQAFMj2tkTbQ1T+jVLsgtQbMQD4zoW9YmGhOXcKp1RYpwf28E99xks4eJDSIaWAbbSM37nlxH1
zTHQR/ieoAZLUgkTG2ddn9BfcsmFFJxTUyz7pJwOTnyXWrgW6FjQMKuaKTimFJR/7jo7UnDBbNPt
YDTjHMS8rlRR5MHznaea8sHjUuXFDjgaEH2mL73bvvPbHa6udplclumeCCeKAQPA7O0tMaVrtq5n
rU4DpugddWUnY8VannTYR7aNMIW7ZtsFqyXcHyU+pas0xvI4ufizHcuvMjt0KYTeEbMnmdhoeWiO
LxGs+mnOzKAQS8mm4nZhelLQjnuiGnBDZ4iKIKiIcuxj0b2TvOai4BHuswrwNU7AFuxqjun7Utqv
Il7uynnUQ9cqtxuptqfPtvLtVAwnw5q+NFb9OC1ZCPJLXjGz1qj4STAVWLyK3Pb2cSbBxi2E+Cob
SPRKjfpofstkixOEvBQhiYSgFsywothrkcEPJLrrxcLmAw932pwyfOWcx8nTwJ31Yeq9chcnKZ6x
MsVTUVFhY7EuX6RHnqCT5BIK3WShMT9oufzhrYQ4SRFQjZLY0JYXX8DcLlYZakyvjwT5HXzvz51l
fx1RNinDCCiPqU61BruZvNm+BzqyvR0BCpt20DWWdUKD9jTO+JoAdtiS8HtlPVKXPaKjWsyFFI3Q
9cw2gthejprid7FeH2HajKesM8CKlZoQ2o0xje5ji0gMksiKtEeFiWhPN193TLC3nUAn89/jsWie
prmaUTCiJvZ7HY2CA1k7TUjsu1yPapNvyGt+jmtVUIGVRClsGTuR3xOlPlg5+jqoIHLyBrlzo9Ow
jKvYO7ZA40jPYJCjoEc/WTHwKthfxmm0qugLvMX0oFnaenZG+7ci0v/vRPhXJwI0oX/vRDgOKv+G
7aDsVb/8zorAX/q7GGfjsTWEI+GvuSawZBS3v1sRxC8CNwG1huQ4/qa4/UOMw8kLvovOSqkzIjso
gv+wIjgsNjiM/kHW+E+0uN9KMH/vaQV1tUFyHEfXsQ9DzPmjp1WDTKZILvX+Qj8aqIU2PwLzT78a
sfjZ9uYTIV9B5bX5Pin7vc8ZCUHrtfdGScy2oAPlXEqRvk2ZZhNmyKaPxlnjA2I/8kiZaCglwlpC
5PeO0Fr50+tM7bAueORbZKWXOnUzX0ByZ1wrayQjhdUdGd4jLV7o8W20GoCe16H86L3JCcsBIq4u
6oQwTL0y6Xg1+j9yeE3bQy3U7ZBHzkfdCuotMnP90jmQASCRjn6MWfDoARDhvoa0Hfayj3wjrbtq
V5ow/YqksN7d1MuCZEHD3tmVM+yJoMp9327rAYcQb70m1nNPNfqRRK2+b1dEwX0tqzyIFnwToILM
dwqTOBwL4bIjV0kWEALoQpOI+8lpSvvOy13lc0/UILpO2PfgSHzTY8VJwfKD1IwGxASEc8iBzlhT
1oPPfqq8qWITCEdlVsOepNtT1q+3ypq/Y+l9JCOQP+W4gU+jYyWfnMZbjxKizKp6FpYgi+uKUXzO
tPk4CVvbe6TRrg5OwDvTsz7YAqy3miATpLpCP1iNm1/0PMaKpxL3sDijxk5pXrRXOyk4PUnAE7nf
9r+cEzOIYlE07PMWFAUjmfBQuutgvOrO6gT5XIiHASjmNTUX9xRnJEH27eRFgck2H7124H2jtSnU
FOqSbpUtP/LK3kM67EOaZPsnh9r5O9PulgOOam9fbk0x+exWR63KvKA3zfRYpFaxa3NH3XlNlVA+
3Rje20jc9ohB7q3YtkqEjIrQdmf7bqnzb8pg71OnS3fX2ZQGVXRvAetN+BpDZBqBiT8z9JqBB65N
qiuvWsy4XtbvjFxEvm1BItlHdl1fK/ISoe423AQwXqd78m0dqqy07ubJsAOvbeuHcfHMWzbp3QZp
aC9z56qTbWJFXSpe59zI2s9iAcMafs1IRKO9oC9S3rmgVdljc1aEhS8WmYvc7B6I9SWXtJkITnYo
BRrq0U3sUN0hzXU+Eon/CVGabMg8HhfC/GwUYxddZEmvjDKVb7XJ7ZS2uH22UHKh5VpIv0W0hw1a
7/XZSU9OYrw5lnjO6vKhyKaNM51EIXrNrrTZ/6SZC5bVqfRAGP0TAaNvY9PfdEkGRbFxwtpIrq5M
jYuDWVlEdgBT+UVrKnGiTyRAoCehvdT3zaCle52t+NmyxBHL5XyY5ywkj8UX4JcILME7sxN4ayfD
kTridob/yGG7MPUW5nqYY13QvcN45BSoVHNND3ZEikUvnNxf+8RkwkiFz9XjPdPUQ588t/2sgmkx
GUsz7QZl6IZupsiv3eQRSTPZ92As92B3sH2UmhtkRiYPQuvuKrTQgTRN2OpD6s8sqVHsmHPM2L5q
/PbjpaACplitt7kvl/OID5lUk3kjo+zNG8urGGgyGZrvfYVo55Wnmtwfd6nhzG3CDlyHTioepkBi
87D3qlNedSdq46yDJ7nGpXP6ne6jvLQfRElyL+/xVrRjEoKfO0d8hN88m9evOezdo3X29otCFqyK
5srkSrioBKpT9aSLCnkjZF7v9Gx+tfgXoQVskaDmbpq8UxHjwcKefNVbxQJXgggFDI0iojcnx6rP
k83SWEvSu3KcTYz9zUOsN8Ai1q7DOGryzK4GCfWiRWt1nYSHXfRIzUsWaHlNPC6V5jHDN+xT7afv
OReOCwgJP3HmN81ZvlIfcrfCX/W1CpzqLAR0dYue0ZEBbzOSo5Wshc8NzMX4Q4AMkkK7N534xhIi
86exByaYyGPSeJ+O0XwCFl73GFt5rXr1mlio2H1kVfumU+1xVfqrmMZ3W0OrTdrM8bNm8gJtYqi2
veI8tmq55aQ6GdkwIDHr0cGYgSrlVs4HgpjmMgr6nGsh/WWUUWAV3e06E1Nb2cHhF8qfW4HrV4FO
pjzhOZ6Gr6mnsUYpJosQovwxm+sTXLoXyklC22ju9Dg/s7eeAAXBfuJBUvlN1EZ71k74w6Lr3KEA
Oetg7ldzeQZUHfAy7rsaNWFxgRokL92iLgS21B7q7Bluy5W7BhNuyppYi9ZPtkS0+Hg0KfGpuKt7
orTOmNPtNmWkQXVv10v9Q49R3lsNsUrn2W/yxK+i9VC0D7kehxthU7OXYwvmtbBnEPf1KXOdq8ER
EzaOfQf6OeBfeG902s+4r7x2S3UUWfHh4I7ZT41jApilgs/KL9JMur2mNyiineYedKok2nijVL9b
7rWR5VWPnQvdT+fKBTLVOMs9isC4i5V3KNdMhtWYkWMs4jD2eAc618EKLIzPytHCTDNDp5N3mh1h
LaFFRpKH27mp3fi5aAE4iZiAaQZk3qUk+NgOGodkus8tPT9NWabtlslMWIVl6jBwsMmEMzLu6JqI
iQHd1bH5OM1jc3LxRZG2iEffUZjD6nUudqYWEfVtU35fdYNLwkaQl8vXZmUYXXv5zeoc8wYDPHLi
BJgytl9cJ+x75NNsHj+KHPFItUxYGNND0gpc+XXabZos+YhNQd2PzHpwLmNy4YZivPPozA9RTlfl
ZGffwVPzlGzJbGI+afmI4X/SVElLZlUBneaBWmvxA8/NV83hmlKx4YAEbWKejpU8WxzM4VROnR8t
ehdElv2Mu0ztjJF/q2FPF+pDxU5iwJXSorEdjEQRebdZSMJySc4Whn5/cbTuFBEmPNi59pB00jzo
WX5w4d0fYF1U184Gj+6QfPHl6pKA5DcVTiI5aDY1hu+68Rcam7W9bDH0NckWKjdNXhyDm04CqCk3
xrY2GAF1WhjTE/xYBD4R2cf7Nu5wM+Qw2rFs/JwowEr68WG7I2I8M9Ca+2Y/loRBKH9jkFdTsSu0
4WqVeBCp6+a+MTQ5vJC6Bw6UEXvRnddm5iPeyE0bwAV0KYq1uBk9zCNxXzTcB2aT3O6Y/IhIVQfZ
iAyzOuB/dL31x18XePOvyzykTUy2K23g7dJQepDa8Unl7VOGho9X1MqOlKFFZ7ZFeUg3oqD5c4lC
gSttn+eaEVYxDqhC5EFpjEBH0pIdB6n3wFW1uHZKiLBXS3RuIo3ZD3rWrmM2gRiQvpf49ffwUEDi
sLn22W5ST6VPYKeTlhrOLekf9XV8yBk5wnxDyE2JPh/FtspUdvstZi362nQJJ37NmRmt2tHsYo7z
ctKhTE+cK1N6AXvNFxhapBsr+Z4PLNxiUOlIAJSDUNnB6snMpwvLKi6rvdUeZDR9TWPSJy0ymg8T
FFaEipo9jQXLsTJTbiKeNgRaoctj1RiXWRYu579lXg3OTbxZeX6k/XoC/IMzdxTUblcTv3clRL+i
+iCNHz8NZs1CUuMAqyaOJEDiP00hAqqM6pAX7gXNEL2XET6lw/TrQhiLGc/Bysvucb21LOJnfiwj
TH43Yo+KA+aceuotKmNOVblSuOyJR9SoKx0y+W1OnSJ24AEHNdV/n2vHbysuQAgUbH3PqjEhFrDo
AaRlrA/VGDeHqIb0sGAMYAMLn4AOnvhaw0Py8fWy8ByMBsmjXeRLvDkGcrdtfG3WZt+B/U8aRy73
ENffWvIj1BQ61nnwmmXvyqo51FbzTZncY1Z6GZ9yIGilGL6xw7rDxVQGNS9hp826c5BGWz+tU/1o
ah2XITbbZmAWIyyGpfHe5Yb/0GkexVpq4HLw1uJAYycEhLTSL25CYJhgIJaimGNatq21bxNvfRq5
rd9YhVsd+lF6J9obHru4eZBsMBkbyuENgSk7xe5CkRM2EeA9S+TDAT6XTWv9yFk9B9NmL4iNeTUR
mKouEG45PDfoOMc00XCbRmtMuoL8tZEW6U0xaW+TXbN8peOI8ykrtlsmAUCex76mbSbpfhzlu7vW
PzGlQ1KeRYuBL+5ghVH08Vn3jhVmY9nvB5y0YUSVGLkqnYcMFaof2WaeaEWxHlNaQq99vXBsMLHq
MzAqbzNZTLJC3a71gyZiGVi5/mJy7j5kIxhH9k3Ttx6uBb8c8r+g+vy/YYDa7EWIJP9edNlV+f/+
X+O39ve6i7T/9tf+LrsAGbVdwtIGmTrvNzfTP2UXggmEQiCQWobgP/zDA2Xov/yKyCYQbZCMJuX5
D9lF/CK3/ztMa4EdhZpa4z+RXbag8O9FFxc0KjdDYSC8iC2B/UfRpVpjRS6E8nOsT9El6fP61Brc
e0fHrA+/e2/+Bz6q8WezFXDUTSwSDuqOw5f7U0y6tOuiUQnJXkOLGNR62kFMTP1nq6Ww2INbuJ+I
ZB2iSk1n5mQDODiBWarjBKq5c2sUy7hP9CHeMcfzIaXszP7BKs58VVG/BH/9zW4R8T+8L/Sb67CU
9E1zZUu5vZbfBaz/WdeulIXNgUfZ/r+sa+cfN1FtkL7gbP/xq+i2qt3c1VBdrDYN0sit9wgZp79+
KfwW/ctLAf3g2WyryYxvv0q/fyljVdWwjPkicfzWxe95icQr4zNcuL/+Ov/TW4aACFEXngyrj+37
+N1btlA6DrCRYgF0pPXJHjz3WoPL+S9+MBIAv8HeC41C/ukty/SmWSKcq5huqr0zMLgmLiDVv34p
//Kp2CgEBp8NPpYgrr3tz3/3UgxufFkyM1UwhaoduYezGuVLoi+/qddYQP8NMvhffjQb7QDSz5YN
A/f1J8mTm1Pibo5/RIplZ4FJSdVrh7L416/G2Ljzf/xl/uOXAeTw+5cTuXHajQNfhpRs/WaIsbtZ
6uFr78YTxZvik4DrU7Gg1eU43OH2AVX96+8AAv6fvwVCIya4cD75JmY190+fJyvKUlu5REAndCcS
vf+HvTPLjt3IrvaIoIUm0D06E9knyWTfvGCRl5fom0Cgn40H4FHUxP4PlORSya5aS/+j7ceSxFtS
Eok4sc/e3/7O0TvSYmWQdUNHwJ6zvAZkNJIAYOlpjHLLxTKtdl1DeuKUaDKGMZxwi4g6yU230BuC
or0Jzku3JsgtOZG6dW1Y4LiGTnqgSMOhyinxjPAEpyY0rCCdara7NASOBGcyaoD5zGfzQvS5clYO
HkWX7HHZvLLdGe5d4hfcM1UU4TFpjFeMiLoMbOEiis3d1Mkj/pGUsiO614liStl9KGUoFC6H+f3c
81KKSQWArV6b8ElvNUrlkTV0rX0N+0SpQ+rTtrpi/a06SpEaRrdajBYetYySFbBW1F5vTbqG9r3l
E09HgAa9FEuXYQ9jqB5vBIHcgv5z2LfbmRDh40ztJlq0ivoHwNObMKwpM+IFEx87DigNq0Hen2eY
RDH0IUNdyAKzvp1SyodXivmP2Y36n4umm/2HufDntmiP/rWF4wT5gpontGaj4jLkFW31lceT5zIF
ZlRMNaWLTuJKcE4Ql+Z32SqpAmsKvddW5rBvHS0xgDZPlsv1tMFhGNAjp0GLMUAvxHbFgBSGcrjR
47mprvp+iEye0YH7Dm7D8Iq7QD3ttLwTydrFklgR7wC8RT4pp8p5HMbop5UR6kPNdmZ9W/Sz/VB4
sW6sZ8Ra1JEauSbzOo8LeW+Vd64XwVv0+qT7kcXc4ndGbkqSA8VwZQExI5j/h7JTRGQKUccYgDCM
LRvtgrgehc4OGm2zik0zBn0jxeLNc2IiutJxjMOvHaj0X6hoxSCmHr6LUEt+V+JAonx4KMxljP1X
naiJ3lRnLJWUj87CMWC7AQbOrqdcNp8pWWTELipMk11ct/xJOCvSq6bRzXKflANBmxhPQrM20ozb
22Dw1OZDVEybIdchTemENJLVPBldhU2QaDkPhx4eBiHTem0os38t6pb+b6px8xv+Yd4Lhpfr+1hh
t9/WpY+nj3Xn8MTHld9zfoJemAQPGDfYAX9mkUQY+nsU4K+S0NpbOMUgYY1BzW+JV+IlwZzaTJvU
dKBkheD/mqNkohdH/NjswmEPzFwoO4sUxGTZ8RjkouHFwGiQ73qjxacdz6n6Igzl+ogqJk0HzM28
Etj3vMyKBDXda+TR12MU8v+GCxhoSBvG1VvoTx6ydtUhd0V+Y8gVJqyNnnTajGN3aXiHlvri2MX4
HOHnfQpNTFUHQAjwRiYn9XAx2Zq1A+MFp1gNLn1RY03HHcaxhZIBkLcldfErPeObpOF8UzUgnUHY
0FxgG6yGivvKU5CgsIVD42i+yRyyKOQcxAlpqmlBd3DfqDGM5fA8srpqoZP2tbijsRkVRSzwD/Ob
A0J43rwk33QQHV7trUN5J0Xd4+BfPBqJ640jK/gc5gIYwaGN57W09N7csJxmXQ5QKrkBO8ygRRDV
pX+0IV+Wf7NLGkPE984CNJljocfrKOycfQUo8atc0CffR8T/LXL/606WGfuf3yn+rflzqsKgSImq
En7qtyuF4/8ikJYZp6mo8PF2Mp78fqUwf7Go8XFxuWOwWv7ef14p4DKhhxKr4H4rTNNymAJ+2+Q6
v+iWx5zrsM1i2evxt/5CD4L5XSH1D/OGT5yZ3Dt/IHM+Afd/nDd6TmJ9Gthv9SVIiYC+hMo4AZkT
H10PR/PLKlPRAV8XIhkOU6eB4+MFsiiksIi2oV84r/ZEqn4dtlJ/E4bvfGmVHu1VVTe35oCwXAwU
vpmQJYiiYz9BYsEREjnGKR1a6yujkuuTN55979DWGswhqAYXQTdACY84LrIkQt+Q8dOQKmhyeQnj
rnPb6U1p+XjtzhXIEhzzVDYOyNbFOEbP0vXHM1Tl4g4Cq8WcVlRHr4eRNvgdpkQ/nL7aOUF2tQk0
7GdefHd8zRfHY9t9Sisyrtlut1c1nY1LL6XC31SIr8q2KYHH9euuhaW19AhgvGfnbu+EqSe7yLD3
oQADTnSj7TeeRRda2bn2ZeJlfe3NVnvW2nHekq++cq3ph/DtYTikLAsvNfXwZKe8BC9LR0gesd5u
thUOXHhCofnJA/QQWRqC/eCXuzCCxCqogDoTGWuwaJdiVzqNIJzrFdlhAraKvacbBOodN6YbDJTj
hyvzyYU74/eXmDjvNVlv2JaTLvsrkNENuFd/+qo8t302SzWW+CK9Eu5paIuvXmGtRrKCP00rnfic
cd3Hm2VGSdZpiwclBXTckfLSzOt+lHAWwRSY7yUi7IOPmElLlbLhx8GJYilT6fNhohl1S3c29JvM
T/WAS2/36LDavjKruD9EY9YeSTrGN9MSF5Gy70q8i6MBFxpGECA9tgiemk5lMVr3sNyzO59axuKO
c26MYX9yNLF3cuph29ehbW08g7lyHaWkHrEBMYCss7iR9q5I+daudCOX11oRn/Dk5pd6nuSH7cfF
/SSz9tR1xbs2W/uQiMHVFCn26/n06ehuvi0tbNIZBJ4uCikH9lIYSQQqe2V2IHCltdWlCQjWSFhr
jLZ4irv63k7i4dxA9dm0YdL+AFOFC2tiZvLplf+ZTDax0jCmvtiTsXUJSWDvdD0vj4k5dxtbFBb3
QlKaje0xRYLm24R52azHtql2yMBoiTTE2YcUaHwwp/F8FbH5cBkXR3iMhj/vaMsetlFeOuGKL4W9
qrqKXL47yRZ6pSpJ4BgDK50keXGbOqEzksDMLQN+th6wC/akTQzjg/gMVRxqMcih8qst6BO4wlE/
7sdyQm3WC3Xn4WA6mJYb7ryxS7c4CxmfAaG0mwSvmhZGJ2cW2MR7TGZD5m75llOCBAVM27iDxWkv
WH5vI310bktv1C9JNrIA8jn2dVg7WtedBtsHcG50NYuQaTiNoc3qrmQFApepas4yJReCZ455wqEz
JaBDBOhnb7raPkokB+ss5EzyEArBVEziGOYmefOwLB57UB4OqVFdPkdWHO+mVuiUuYzmFpv4tClI
R+M+ddtbrBv2vanojMIvaXrbVNcwZuLknVknt+dEtDOPhWuec5csdsO2+FVyh/3MrV4PUrdvmpUx
Dw2/JIOlSWHmx0ho2Z7fqw7MbbKAq5qjjpWOwXtfl0a0t3vpvJOP6dMVxmw+f2Qa95n9+pTtksHV
fiur+kvn/P8G+fDXU9v6l6atVTW9//jbv/9RPvz7j/2uHxq/+At2AMOlD6DlHzKU4hfsXBiVHYF1
C3GNc/Y325ZLUxJ6EoWUBq4t4fyBILP8ENQCGhfhpVDOiLjxFw57e4GO/4O44KFfwnLkbCGaSa/k
nzQMfC/ahLm9CzDl9y/NUrWhRRqlG24EcXpaqjj0kPM/awryRkns3LVSTSA3wmG8ncwp/El8hq0N
zLBa45txMybJs6u2E65p+hPgT/AtB9kPc87EVeE1brwzVUmTuwEf4ctCEDqBP57VbgFa0bQ+BVh8
8ImYMzbqMiQ5aZtN5FPO4Yk7ejf20hmCqQMQBnWCTMYc2+7VYNCYvKMsUP0ccztiderYL/E8MzS0
fEXtlU3QHbpIoWpuHl75kYAAPNquC0GVldcGGlSvNtBfUDFDLtAkWPJaFUFYTdO1LaECH0wWMMWB
iL5zji3qWTyQbpXTeWemCljgsorirYW1C1f1LJ1wP7LpeyJfFF5nyc9qsh9TG3O1rtPcOUTNmguK
9w78CrSdRxqgKlI2Ks0cPlQiV9TgVvgnWpSygA2/Zy3GTGIUPEM+q8w6gGYNjKc2SmgzdYVvI0LZ
OBi53d95sS2vEtf1zhObqINX2fJd2b27AcvX/xxymT/kWtUg29baJQdceEb3eYpA24VB7+nlyXZy
SFcp+UtQeez84+XwLYaa5qflQCYZ1j/qEMRInjic1/NydFepcYgtn9M8b+iNWdXUauSYQDjwHaaA
d7f0mQJgKzMQ+Gz0dtkyJlj4HLDxfE8PHfLIZ7+MFDNWJbkYkO0vV/Ri3xEEZfyI6rp7Rn7qzmTO
MFZFrJ6/pNKb99gqSdNhX6nBYaT+2UtjUnw88MZz6IMfZ2qLrru5qvCBN+ahTLSS9O84bGa4EEEZ
hyJIa5ZFlDAal3AkE7t3NAgM2NSlDJYhljb2mKaMrdNh8ljRZsXAyUXrR0ur86XVWf2ta21w3xOh
F9deSyPvGixOt4sdhTznZ51az4BN3JU0e3uXOhZQMV7+bCIJeK2KNM/vKt4G933bOydppPb3YYwl
sUavyla6bNpt7ZXTOexwN6I0N3vwyH4YTAgXlIzPJT0oevXozOha0xzG6Bo0l9NBXkAFVNlgvc5L
VJPzlr+KqtXfU3Y53ySCh2KVKZ53OPjeMa0Z81cE7OpznswMtDhH4pUr+BjE4KTctVsdFYWjDVcd
TvqJe8mmGPEZ1K3Wr1u7SF7tOlUB3McOHcMb76d5jK/ztGvJq2TzvcwUgBTXM0m5TXbW/iBXEAeu
AUu9HUJkvDyabxQUxiCS9bGnrOWq1vJ+XaASszPQ/AVpYJfTTk+S7KwBm99gpNlYLEMbR873uj05
B9ek7AX7/GiPzdnR54jbfdGgbTjdraV3D3WqZ7yVIFtsmoYhaFMAsslWwOmKmp6pwviZdY5trGK/
j901KBN8BRWLazjwTdvuLQk/J6Iz+AVB0/MJgjzTzcJEgsXwakqheTRxw4FMR0BMga4W0USCJQW5
D4OogQf/ByWF0RPJ76jg7WOkP0I4rPNB5SVrkjB+5oonX2hiSR9shwgX33MLgtCkNQfLa4ZwR318
dNYSNGCvrbKd20/ahx/2dDQojeAgCyP9Ao/F9vBJVv19nmnxLoQKS9WOa7+Y/dSrrW0PtSIYP2Z8
tYqi2qR9TWOAIbviQddmPBxORQpc6gb7+plGIrGz085dkTqtj7lduccocvRixSRTH8nLwIQytOQl
t/Vmb4g6puV+TLQPFXeuvu6BzW4quXRbeSkiHklK3AEIw9PZ1ulsDMIirO71oquNoO16XnKi8sy9
5s4DxTFOeBQwBcmg5LHurKpmmkZYIiK6dKMa7+1pspDeBzrkBJFCCTOj6nlUm8h9sbwZO4iDMwgK
mjmqB3uY8scylYTjNJkO5DtCaH5LPpdUtSp1vi4eFUedowpWE9Ir5VqH6LSbTEG4JU/FGlirvQ0p
F/dx5g58hJRQbJJITWvbrn/KjM/E6vphIwb/MTNbnApehv2g1jzzpSQig8cn1anlM37aEe+JSqO8
LrUEml4mIwwETrv19HHreWlGcVRZEEfqoquQB4+UAoGUIlW70W36oEBI/+AxxKnWhLRXRaEj9nKg
pCY2mvnD08r6sdfx665qNynOgl/KzrJD86zDDX2qlzojtwT+sxJLyRHndL/uluIj4nIqSJcypFAU
vAUNt8zAKGDKDZfaJBdVF8MHIquJ5HxJyI4TY2znAy1yS38X0PUg96OB+6k1y6Dlls03aalqyuhs
SosuAzq59DjRFJE/W0u5U2JT8zQziTybVQo+xSq1/pJ+F0J9d0PFS02UuRRGtUt1lMo0ArX1Uihl
8C7+JENk32gAjdDUM6qnxFJCRSNSx6GALX2ntZRUYZACclYv1VX5UmI1fNdZcfs5D1U5X2EAwH2o
8HxQXutf6iaaTtS/YiXlheQeecXOV9l3a5bjNNm6Xaq0bKXRqlV62DfjMrM2XMacN6122rdqKeKC
wEQnl9/59UcK222bIUFeV67RPFDMW9DqRKFXQaJnN5ReuPV5kxzSpfjLWyrA1HcbmAeNNA4sV9U7
qFv0hZVLdRjWNfNL6kufWEyzGGdke/SWsjFgN4G31I+JpYgs7Zr+SRmNT1mSvjSV0TYCQbhdCsy0
CdhMPwEKbjKixc1SdJYtlWflUn5WQSF1QTfzUMnKAkaWLz1p2VKZpktFexppkvBmnLB0f3er0enu
/7QwvL5bS/XaLKfovvruY0uWajaLkFOx0vpQ3JI6r7djtLS4/XX98X/DvcRGkftX+uP6Pf98V3+8
kvz6E79fR7g+mDbXBlSoheC+4N1/1x5tkC7mIktyG0D4W2gvv11H4MBwc4EBA+3y+7rwd+2R5iJk
TJa5HlGSv6w9evafd50kJ0whLIEDjwvTr/VFf1jdJoNVmKLQ9CDPpLmK44rSapMwlQfe6oG1MqBu
GyZknI34/ZNmw3LKA7Ki5lvXLeKbzomIZ2AsYNAxD50n5LYVhcCgNJKDHEADFg7lmgpUGjgij8wq
DIA5Hw/oef4aQgvTEGTXVd+HHXtIaoyER8pztni1jLCje6c1jmjoOIZi5hgr8/YVi5qdlPlXniUO
7IS52alBRuuk0tn6aWEQue5TM9Ljl8j0fsjZdnsiml8NB0vvpLzrZvC3JGxfMKB6vKBwyCZz+TJm
/Yxl0n911HiOy/BkVN2bmxuQwvzT5GL0tzksubvsRdfuvdy8Q2cjw9Dx+k/ZLc26365YgxABVW/d
5Gy5xT2V+KJKDaQF9yVMiMZ078sm4rxKu000siUcU+9j8sHwAgKHGqFvROw9s0tjFp6LLcchE8E8
tSsxyIrdIZZS5uKAwuV3aiyNVY5pIG6pbJslx9UIYMxG8uW3dfFUsjhJve04xWfRl5/4ybbD4Oy7
2s43TtsGrh6bV2ySapasau8PzAoc0D/T1ssPfh4VF1joSUDkGGu+om/EiSOqBI2FI+Yx1DPPkMeg
MXUKuUImy5Ws0qf4EuX5E4L7kwQGQUbqHSIHsb+Utl45kJdnN7vpqJzakm65HgdVAtsfXty4uS1i
m/IKtzzSsRZvtCxCkvZxmxZsW/UhPDe6dwM2O17ZItP37ljdsOMD/ey7B1yADFWg/rYY8V9cWIT8
Q/NlzJnLoXC2exdg+842vfzTmMomMMrwQZWY31QzXCF2HVMXy51bZddNWZ4ym5RzP+rtDnuZe3YG
sTeHZM9dadNhUNwqwXWy4Xyg66N5qSvWmdzlvKBHy15lS+GgW8pyR8m4/t6V8UxFCfc7J5vdV7dW
w6kixUksZJrXmOVVMEUEdDu0VbbrlBkCTKzONhycAzpGuaaU5wWwG9GlujC2JaRznh4vOzReD42k
KJ1Ac73sXRqFWFtz0gdTgclfVQ4Th7I2yaif0ql4G7iSt+AAGHC4asIXC8akudG5w13HafmmKvEe
585b5kaA+uVcgbRT9IOxh89b69rXs+dGQ0kFSwJWKHqDO38OfdLlo6sdy3lgs1xB215qaYrWf+Nb
ezuAkSOgQ0qzjwPKbaHSVuRxQvKQ8ITQST3ceWKcAhFJ+m6Y6YzK+bSl+7Nq000meLLMUSSBUcDD
L619pkFwJvc1BzihAJpo4Zc01UespdfZAkjo+YrzG25PUpgVqIuCK5kq3iLSHLjKWDGWkC9SEkN3
sfEaeldm+drx3fMeU6f0gwoLf2HHB7RYamznZqPBlXCT+I4yBF+EfWD5gBRBW1/SCL5kDFplSFeR
h4jarfX5nsVhAfSckMykM3FG1mOv6bshHMzAUB95CZmm/dDM6spUtBaLH5ZSsNxI75MC7paVi0XM
27L4bgEYoBQrllDp4K+T1sCELrtHu0qI6nMPsg37dqAzSXOAWvFe63nk4r3WNicdB/LKjijC6Qb+
e23trfZhutsieimi/KJ3xjuASh6169BIL0NhAaEAERmG7DjYhL7qLgwJrwEsOzFBwkc9F4TC8+HD
SgUpuDbfjbE8qmTgE/FOLc7SJjZAI0FP2jbpvsOJsAN8+xXnuLadtlI7RQ9zY8WwMIdka/u0+c7c
nrRol4a6c+wzc190dJmF8moIMxiDvEFr7hW8pct1AlRAGACVafG1qMx0tlYeruay71YFlwNKjoq9
ysH/xGCagD3U5cWk8VFaGA2yucStkzBK06ETIAmmFF1WOVBViziTE2orM1Mj3KL8FjG/Dbhn3LaJ
3aznEFtJJapPKyT8Y5T3WYVJppNPde8EqAJb9KQgnTVJ9pcS225sd2Uab3GCX1OF9Tn2zZdTcyMa
i/mpMvJLNKkfFGGlQY5peuVqFnSGufqwEu9OMuntMMroey2W0JLqXRcXmIm9jk1Vhk4O7y2gDuIk
OMoACspnPM2cATiMexMrq6O5/KJZzQ9OgZA28Cklt9PYPU+AQ8pUr4N8ki5vrQGf98jyBePWfKYq
5MoKMduiluk7obSB50xBLi2xZvRhc5qWQL4DinBH00Mc0JSCPbZmJ0It7ybVCM9VUr5InzOb4A+b
h6R7m0WVHxwiBKtMCmw2zdkcrb1f4ALRC4MDMbuUdKBtMjd8mN3kTrNs3hxqwEBl5s+Upn2iGtkr
twlfQApX7BCGfCM69eEgUHSmdo/Mf6qZfrngc1rxpERtd9sU3Vaf7YNvdS+WEe16MbTHfHkPRnH5
FDt9vedM0wI401AwugXY0I8Ouml+XSk5byRXVbhGQ7SxtfrZaExz23J9h9XsgNGmVnktiHnu6JXN
A1HztuobN91qevICYONaT6Yz+zO49flnW1oWm8u5wxrRKoo1un47xhg1ZmBXPhop/bfYeyAjPU9q
KvdVTZdibOftGgH7NVNMBMIpnfXgaQQCDIfU2oS138yzvaF3zZH6mRbug2i2aTtMBxpWLoVNznSQ
nbfqS2fXSbYbbo2CAoeBI6Spa4oWkd7aKOZtZJXhebKsFgdK8xbZvbXF8v9iQ3BZgYFE9tSbdM0b
KJ5w8MLvAnH3Fg0pHzPBHdesyLPJfE/Z8caL4Gf3abEpwJFoqfkwKKg5tFcUjsWZ21k/Yocyxn5U
+9lz6fDSPXNFNhMq69QRW6jgNbkcMivTlXIlkG/XanLvykiah9Cdn0s4Dpe57S95FGPKSMef9YRl
LZSwyCAYPfHKeEcXo806xfM1d8V+8K0HikhKUn1MF4hUCTe36jxNySX13R+QsasHIpdz0PNV2/QJ
WFdDMVpZKaU6Fq8u6uD7XT4a4LZwnGzmb9RZCZeKup7DwJy4aoei/nBGsTcIOmFu6yCNaEgHzkzF
nUKY2Oh6eTeX8yP31QsSFhzvKQCrfSqiLCFSOnwySHR7tx3urRquV1yTrtCs+mI148Vvh57mio66
LlKLzMAxHToOF/kG+1sOi3ELG77bUquBzOPjnMvjYaOxH9z3/pyuBjO89YkrkZlrn8s02UhwLhQi
PqTztHPn5pAL92EAbRMqRnhbdQe9sXlQeTTBezkox615V6TFuPKGyltnva2CyK5uRMF7QPNd4Lnq
1otwjQlZmVe1bWtHfyxe6I1Hqk04l52FoUgWIu/4dMbRLwKVTG9Ly8m5aWJ+J9GCFUumi1UPZ3jH
qPaa5x3Dzoz3mUFxi5UyAPh52AWZhUpJhuLFLKDwuUnirWwjvC5ltrcafHSO4HwNZ04MWOorb2p3
zsRxp6nXBCDHZDrQTtEGE8ZC2iGMnYfDoZgow9PzR/TEr7hhluypSe4L26PGxv4ZUZMMvtW4qjlF
1gRNGC/q+NQJVd3wO6a/ZSQ16E7J0v1N5AY5g6qh+c5mqc3JM3+RBSzZELSbNCcQ1lQ+tfV8sTEW
fyYZpT5u+24vxCa6YwBx2FSZN5BaoPn9oHejW4d8X4FT8Dsz/HIjl0h6atyLpAwwYewAyrm7rtL2
XSxKWM58q1NwfVqqrwzNoJ61NPawqPmDO3etlqGkqS8kvm46HXhJkZVvPvRwUltaz3aY2hgQFPUq
RUgMnDh3N5xqVoAvHMFC8x/zqbyzFXK1EQPZ4ltZdCelm2PgGHUwpD5FB/kbUdegNJr7vuivgN4+
EGxEY9U9pCzUqAK6cOBEFsiSVkN6xIjmmONXrZCt5RxuZOP5awzWJ/Jg80oz068xJ07oD9b74rVY
9VZ0Jezkbspp0lyYvasK3QzlxCV+OsTsVNBnr8OKS5cxtjdmLrCISrVQkxJKAxrvB1KovyoBjgcd
gN6D7rYNXdAoOUKHbSxdnn0N7Wmdjsn8PBO1WeC9VOz1oGv6Xx38/7e7TX60f1Q8fl3Cmmw6/7lP
67ZLys+//Uf13//c72qJ/QsnnkPIg2o7bxFe/q6VeL7tEhWxFobG99/6TSsRv/CXLZo9bPQLlxsl
/xq/+bQEZSJAb3W0cmEz5Iu/5NMS/8UXzuqWkAOGFCqlQU6Yf/KF9/TdxnqN5lfM6jqvO2eLlH5Q
jBwHEE3NSqOBbaOnvKhIRUnqFBBAlVk9ialJ1oVKmbUL5F80anBA1vg0u5ONT7mdAlW7j8KgrRPO
GVVxvld8tQNJMyTkDeDfKwHZrKInzsFEBAndeB/NdDMaAhNCBZLKGnT0d8n/FLPGangAuTdV6YFr
GmsFDctlXFJcXuEQ38xcgvnecLMkVbp4uZaXJm9D6RKUr0IqPikVvdY7h3LSQn/XfHQBox6gA45F
cTY17TIlOJ/dkkC043b3DjG/NRbZV7gQUyBHg2g1dyjIFveikA9RT3reHodj4bnXEChxfUz5ECSu
Qrthmlh3c/TcYjo9EH5gm8l++sPMvOcRCSG3FXl2t8aQYutyI5RxVJ7JoJjjfpp73yRVnhk3xsgF
pHQosYIe6az80OyoWtMvuhiCgQFkkxWJuYsrgJ0AtFAzUHSw7jBM40Xj2kedQjbq1TYr+QTKDpi2
BBbWwN28rqvEvhsidV+LCey4EX6UowtJE1F88sMvbsr0SE16vKVGNQ/Ktvrssm4kzxteNV7EFQd5
5UKrymW0rGw7UDgIho8Xj51TEoIcol0kBxxrNvFWeManxWVkY8/F1WxhwROVcINBhCdhVPG2arxP
ywJ1VQ00R9uldqW31Gm3o8W6Ra1rNg0cMuEPa3QOtMcyD9oRrKUJOFVVtW7QpvGlUx4AsRxc6Yxz
uMe0r5D6TCc/snA658V1d1R1uHSPjTXKtu8SqzQggmB7WtfZ1NPPSy1hOHjvI/hYORwr/10ltIyX
5xniSgeyD00eEzS927F5mMobLawZmQH1Mw3H6qGx7OMoITPBhJXQXXvHOQ/sUziHiLKT0TfgLk4s
DlZ9y9pKG99L4yqr3s3Wf2RthNW+DNAEgFZWmyi9Yh4KMtcNCB8T+L21jeo2r8hm0uwRWpS8CWxl
6cyCAyWQfW4d7vR8OluMbAj7ENCYnMWg0Qe4D/lLPpukNnIOUg/M5L3z24qdgTWCEOFmk9tyYwIV
LhNzm+X6Nmnmirm0R4CqK3goceCE8kfd1E+NNgBzsj/S2noqbPO2d8O7eQpHdjhpIE2DyNKd7/Cs
HofyiKsSXBkhC5KRgrYFDXxpg2iYh9Wn5sugw6plIE8eG5qctf7OH8xjOJGRmOPqOp6rg6l5u57z
fQ1LBU6MuWexSSJVvyZUtHXzJ4seR8l//aSN7YaY6ykf4u668MrbLMnPHO8nTExgOIRzD/tRes57
YRMDoUhhR+BsE48zdkRtO9jyHOUhxE56MoFXhaN6MVPj1kgy5IqZm97UXkwzf2pF9DOJptu5QMKw
6vgmbblCs/v8OY/qzi1yFvd5gOcS++IngXWwPcMzXLeNwY0SDEk3AYVLj27+kU0EQ6OB4rZqbZhW
UNZviWrXQlfL9IrZMyF8Hb9kstn0vXEqzQnrpguAGjxmhFmjZ/nrO+pxTsJjNkeH2r8qxqcw74g9
ZwJIxcJBcoS1JQV9Fg2baIUqgBB7CL07Lf308kernHgxAr3hpV8EwA/hSRjjuXZ5rQoteqo66+LP
Y78rsikHq8vt3vuqZ++VNu43V4d4ManXvue6rTL2xNx4WaxHZnrHzTrzPsmD7OoBHoFbyGey69hf
XfaxCwWFzITsPtt05C7fQAgYZejtvCz5msWDhxpepFwTSqW/4WZDhqjYEPfFKtZvFB2hKzUKCKug
7/iT6XmY8EDgtV8VFSYgXAG0tBvJZ2h3T7POGDbrxT1eGa6kUfdTNOP/x6boKvnBU1t9tf9D6f+/
TUBscP75BLTr3pPyb//x/t9MQPzcbxOQ4/ziLXV6NpOLQ2Xn4lH7fQaC5i8MDOnCIpvo2H/wqjPo
4BlCEMKvDvvZ8omL/Sd1zKCtjG60ZajCR+7/pQI0al3+bF/DKU8CUwifuJXLMPQnr3q7zFo6tT9Y
HsdmWvm1rxXr2FPeozRtbtcsJOcUHEqcvWsuqrhOUchOUUf/adJyC/oCy8x8is3eP4063xoy8rz6
ZXrrqRRQDisUXjNjNsY5ZzHG972Hwq+IqVOmVojws4LEYK9VSmKG9Jk9nNxx4uVNMs6FaMV0Sb4+
gs8S0q/uA/sLyaqBU5eIaTOsCSjYrZEFtZd3mya22Tc71I5vcm0uye+TnLnXQ5/aUAOI07MZl1wf
oiaitXVMwkNfIUaDlmEro5vYt4ZBZ9PiTrqNkFLYZ7utLd5Qdj+/mqK33zOqgPn5tING29tgsKGm
XcI0xWhX0UWAFGv2B8Y2WGxC5e0qMjs8LxmwtnedJdCmEk4XFGKolrd5eZrtEZmMqxomgdIF5vOK
763oWSHoDH/7FsZBuU5JAX5Now3T2Ktr/wJQeX7kvFU/JllTA58oNhcw4I3hNrGljAH4hBh6JvjR
eV7m71qd8FtwR886F1rdn0bNEPmBli5xqWKz+tSrmoL3CTEL4Uc33XXqFM2+rzQu01op/AOXdIqW
WUqVa90gSbnqaJ+aYVe2iYfJqCP0D5id3QE0y+IHr+8cunLiounngw06HQwMNbzuRKaAzqNoiOS5
RT+rtvNo8BI2F2qUI8buKcU49gGPybrRqtA4qZbvDDfIMDwPGvVBMHA8eQ8jBgKSrTUPA9RQlopi
YBrGHCaBRGY9DLHEcGkh6wAy1b3OjMpGPoB1yTFjTMPwpQ1x/iy6Gffa/2PvzJLbSLJtO5U7AU+L
8Gj9Fz1AkAR7Uj9hlChF3/cxrTuEN7G3HFWVlVlWr8zy975b9ZOWKYoSCHj4OXvvtXGY+RszbSrI
urlxbnA65qz3i/zWNFX6s7BBZ09+r/vUQv6/9iIr2BbKXm4HbvqH63eKmtZ5gvLN43wODFZQRWfv
BtEWAaFGgCbVENFblDsDnOQGSB+Op/qONl7xQR3WhO2xDkK8dsTCKYH37T0/bTZ2hiirdbBI8zNS
bJl528O9ZVyqHu2qs2AbhYWWHfMkYY9jD7DAsC3sRD+2amNW/IV5U8KXdUZ/3rteO3L3t6z6HLjQ
dyYssXhd+gHYnmwM0Ehtn+1dt2wOQGnFSxgEAXvADq1wJL/Cyx62O+30144vi+qgdIC52hg5g/wc
1cuuaVNIZeZiHsDw9ufBnaCmTiWCD81/ONjTDFUhmlhYoWaEoLzdJOL2Z7HLkUwSqyqvii0Vt0W4
GWCknQ2R1OmKshAy4VPZu0cVUChQlTNuL5WCk4qMIiLcoTBfrtLIn9FNxFif24kiqygp0TWAsB8G
6eOHoZ1BsOEM5lNvJdXZzvphazlu/WOxKRWCg5HwVK1713gL5szZyQAaM7Si/uRFxAz7wXG2jQrj
AD9nZPxsOOEoxgbghoQ4iGd2n/mNHILuFpZ7rNDpRHib0FT1WvuzfBhdLGU0qaLjmPiBtnURqds5
Fg5R3NSBzQapHfsmRUqrfvBQlEl4ZgfXLotTnveWtcEhxPkHsjJ8j/oleQ8M2htW3BG9gz+1KeUC
oSFRHbCPbW2qgjdQyIcHMEbJqesqZw8azbpE7ijmDcub+hDRE7Q1VJR82VMaCl49s3+x+0HFOLDm
dNuKgQh+Zve3ypmrg1sP7U+7M1y2tUnGdjJoJuvO6SB7M4k67yFHy0HVPrtQ+oH3tdFNJ9+j+AyC
FUSmjoMe2rSfnls/ALwIVHY/CT/9GTVBBHySTw5kk/DWnYV/O/VFEG8c6jZv/T5e9vSD9U/wt91T
Obn1jmyB89zOA5o/BTGV7u7m9hMI/HiJmSzmdsA33YPd4uDGjebgtVTCsC45pzGp64jU0racglfC
s8Rf6EwAL77BMUCJjBoUXSu5ndL/xytHL4foExqzMv+0wIkDJVWwwVj5ikqJOssg8uWd1SN4kmkh
e9RPb0QioJkDlr1Vdhv84IQJTokymnfTcrubpanme+jubzkcoMktbtPeu4zmvsN5DZ+5dK23voKf
v7Gt0kamSezHsE3qH8Tb4h1xbwIaJE0YMygMCxNJmcaEP+yBngWA3IX0WYzby4bQV76nzD45qlSI
nURM36eSMxe3RIHLLlXdFjv3tCVj3RYbrFXyZWm6cVv4c3LH55ARly052glSFxX3h2Wyk/08eN4O
/7J6He0lTtcFT17iFHjOq54va1XYbaYmyh+xUPbrNrQUDS39fO/hazpkxIyqlWSQutdu9KeikRkl
9DG7h6gdj9Ui67d6TMYPIuRoDpQSlpe69aNjZXf5a9gEHraBUvKBgJPf9m52i8vE/GhT3zxONmf1
EvGK2vEHnRrqoAxC1FScd/vBj37ZjRvySvg/e5Ld9wOJrhs5FnhqS68ESSR0kxEVEj6v9s/Us1zw
QF16rId6of6rHNi/MGhax8k0xztROSiginvFyYSMrNaJxISPlXj6oN0w3cuYrEhxcvvXMim/qQqU
caDYOT+k0A2a3VAlERawdMs738yZq83OW17UKD5mz2ievAE3vEF/PGL61PnduiZsSlNyErNI6MR3
1FuWPNOT1S0+r5FYTRzwz/Dmk12d+uqlHXyOF1TZfTabtKAurXql1z2AdpzCaHbd5BIGk9j2Ayzj
ypDJoSsd+ei7Y/ML26YkNxV0APuIC0DUyk9yEuWl4ZPHdoCGmbzBomBTQeGvZgL4uTfezrQwkG/f
eWm5Q3HkcRXlD/DsdrM/rM0q5P6ijg67IANdk60vDbFVtnyOTkFGfuKjQoGf5CVaAGkW7gfjpr0z
+p959+gCKcxi8tlBHXzWbaXYA3XpzVSwPok0/NlGGD9xlVbkfNpxa6B8Q/0T7Kdm8zmpkX/QW4hC
uBmtHAArlYEd3mKBdsOdM0WRPGYtvhM7i6Jt5xZ8ipUc8js5SmyOBpe9lB6Ye51Zkt14lKgSjQZH
5yXHAMk+QNJ9x1Q4OdFrw8Jl10xpyuO7q+hGcKufyl9IJgj4WAsVuiu3DXCpgM5csPAaVE6g/9OZ
gPepZdfTzRNQz5F31GZI/HA/41TaL6z9WZIb1Xsr6vYu72CDhklRvc0s5ElwzjZ/RxlSoeD5CTGP
0OrLaRvxCZrgZwv3o6V4/m2iFLxMR99fsxkMEXSmhWd+xeN15YVFmEDgneO1LCek4noc3+2oqATz
JJaZjedOcLq8poBsVRKMPFGnpKVdVVUvRLPqFq9Gkt4JWSzb1h292yaRyNYpb0GqIhQlTyX2em8c
wvu2Dobv3Knl29IF7R5QabsbMt0b04heHLvFjN7b1ipeWCHzxMstTGiiPIxWbD6FfDSP7lSE7w6F
gsFthh3swU7rTpAi9/wfdqLL99IM8RGeRH6fBUPNVsuvhbmGQIvFYMEPv0ewNs7dYIh2pfipeccg
7MxsPXnWsiMVH59w2ernMUcqruUR+P0GLcm6gUkk4OAF4aMbmNXTdVD8S0LC//QRWnKN/I9J78e4
/Wy02/KPA/Tfv+oP+gFOy2t13h9T3u5vEqGUqK2kHJyYNd/nd6el4/qMx7o6F8cD//T75Gz/Bs/V
ZXK2FU5Mx7f/Su6LyfhfB2ciabg6XcZ7xneDJr4/QWVURZ7cS4A8JF5+WSo8HyjA7mnxxS2Fz9PW
S5qvUm+RZ/p8duGAyyi2GSWoRHlLqH/cpmyfGygeG6dGmnXi3F+XjruPI54QShERCusDRudqSzKW
ioWJcHXsoMF3RTAz2eJMpmrbH7kwqHDbdUhzlvTIF2ghDBeMbppUwEa0TEazmrZuzEhnWkQrtZwm
tbAmUdhYYPfYlhHdLC2/MZTc9+zu15SDUCSiRbqkIhRt03mORYSHwaLFPAdVb9TqnqKsK0DvAzTD
XddKfimMlzA7i5t6tCAAohKCXKJVDd1QaQER2VNwCln35F46THbIjGC+1rUWHomMPY8okZ7TPeUo
k9QWf6PE5sSVGMAj0iWXxhsXLRPN8+yibYJSfVyk9xJaAc1TWv6cMZlsUy2JRnilV04O5aEr3X0S
M2fmWjkNtIZaIKYGNt4kibzKgvvS8SMR1G+CssXn5i2QHqgPdVrjsW2JZTnp44JWy9G+GbR4K82Q
UDByrqzc/SiKjUDnpekUcnWxXbQALC3o13Ns9bB5lh9NUvebQXi/Yi0cqyogtoSW7HrVnjfZF62q
NS9jtKtRnGMtPbMVwFJKIVPmjL9UaVrrAJ3a7dUA1lxL12jYGVUf22T0GQniuLw3pTiVWvLWTXfr
CVd+pOXwXsqfoxbIR5TyWEvm0P9+tWjosuUNaeTGDetQk1cInR1aDuhJvBoI8PlYf3gI8jzr90Ir
9G4JOnymGNrW6n2JjO8i5/ta18dN+jlGOnfmgGAPtPoPPx0joHYECO0NQKhSJ5Lx0c7WxgEMBLTK
YlJquFZXptGdwWl+o36o2KTaeQB4lQUyCxDiLIfYaOsN5Q7vEAPEydLOBU97GKDBP4QBJRwNXuER
nG+m/Q5G3aFfLxWr/tF+7LUrgnjKRAEvcGkXywT5rmk3YKKYhHrmkX0s/IXHP/2TmbgrMV3gjXlz
FguDZsOiQfsyaH2J8afh1QDKldIJNhwq7ePItaOjxdphCEC3VMZGJO9YVjjYTbaVj53Pq5dLgDmE
Uazh3YJfBBbzFl4747bqMVsvX5n2lXA43EwYTeDM7vmdLzMGlJQ2EOwBjMd9jjKhXSr2tNADpp0r
dWYdqsqsvnNQUoCHvYVKP2IhHvdBV9VATgMYkRN2GG3pg5mCQ0ZqrwxlUOSmes/YsoMgUN3iqUkx
1xBausyYbUztumEUTPlFOHEmLDlWkh24b1DzkhFE8ablc8a+kw9MhrV29Fh1/7PKlIuZtbtQCDVe
yB69NSaqUYchyM6yZW1pjxDml6+4oPgt1gYiS1uJ+gBLcqGoFhrxGWUTZioX5xFhEPJ7wXRLT/Mz
Cds9Fc7MrnyKyddtIyy0MDMIfuKdjLS5iYqCb5W2O1G1gfMJ63LgOLddhIPNKg2E1dmkjcUbtqEK
3rJgk6ZcZUqCF3kY0vTulgfainGul7dZqk5OS+3J3L7y/bba/ddKuTWHzNlPLck0QH7UGAL0erRH
rnajfEjD5MSMyaYmWVF8zlpmRCcp5+wsZyQVNyowjRs+INjM3ltyPIj4rZsAkIccPPuJ8ksceZa9
ydvgpk18de6Z7ppZ4vUbKcvxottsYQ8bLMWlGxrKQAe7eHDm9MWwGrXtozpGq83NC3QcbBDN6G5a
6mW/ZQCltw6axH3mv+eUtbSm3W80SINgo0+uP8EuV3svXj38wl3HmpWlWtgOz7zo30Gwr5fJ+q5y
prPQML+7dvYZuRQw0MW0mTAS5sGPGkMh2twWpgUqk3ikoptn0Fc38OTzxX06/YpTdjyUJgUu7t9R
xyex2ERTfnX69GyCfbVZjLI4V8Cx92ld2efatveoInjd+T4YbE7plM13cR32l9QZwu1MmTxoA49a
w1GpXcXzbRuaScSqZO6phyzeast4wUpzrqYh2DHaia1lVPGa6sFwU4V+jNkHJaWR6O+jWe5gTfe0
/EmiPKXKICUNLfOiOWN0QlAkn0NotOS+ySftNom+gIbs6C7XRkBCDSOlVszmHBeq83vylJQDlAxy
I/USVHkezTZ6GKdfRnVCtMXSF3BZvqNhsGdlLeKTPcOX6L9N3nYusQn76yhH4ScMOWyChXckuvHH
iKUO657Pfsv/uQh0s7pKwNk6v5L5eSwPQQ65WTSPsFQmHhTHztsPy8VJMRbu5+Y7JVB88uzbxXNe
Mtc7KbsKt9yTgM3biJBTa+7sWt1Y+QcQz7dFwKt1M+7H8Rsr4lmrTgNnQXmkZftQtuNdkfhHaU7v
qK7Oys842CqnQYrEUg7x5HEEosDgVIKZswvqB2sSb4HPYFPhg9zQsQ7BphEHMwiO0mmZE+fHweFB
5ZhkskcDNbw6x118GQnuuUbyHgn7pgxB9znFw1Dx0SMi+27Z467ojYecUAEf3PUAPo81zobgx0bM
D45dr5b4zrKdjz7z7oSTnS2bbtUu6N+TsT5OYfSzq8tL12QXV1X7xVzmbTezPK5d8yIdZitvCOSB
hPE3GJwfuWF8S2L5PamJgTqszKO8rDdeYT1ZbRSd4mK6WebUBeDFQ9BJiJKkFXe+1KoPUsbgAQTx
RWrmnQpbRxhh/nZ/UZPH6pyCwS9jutCHCAoOWzGOiLZ54oewtvRO5sLibY17L16D2cJ5X25mOb2w
s1vXbrapJKAslthcJ5rTUt2N8HACWg0h2Z0i7md6ovZksy2m8NLEfGuyz1vSNqvJF5dA7YuKI8Ne
xVN9TxvYfeV49KJjhzaHfVInm7aVu5kGFieNV41Pctn94lym+ZZJNcaaMst7X+Q7WD8rmEt7en6N
qFr1tqDWPlnNUwAV/d4uanpYZUrjqQUUz4IL2M2n0qOOhhp0YiIb0iEn10r2fbbsfYdkTdM/WU66
zgJB1y3vN888m9gaLM/B34DRIcHwMGB86LQDYoqSS6E9EZl2R7jaJ5FqxwRkZHIt4VcmKVKd2X5M
2l3h11xmsVuEo0W9tHZgkCr9CiNKHQbMGezg0A/GhMUSxg2pHRwUK36JwP4W23gyBu3ysLXfA4/a
8jZoD8io3SB/fUT8/yGPx5zmY/T6T0Lr+v/8N6PS9z/Nib9/2T8mRWxjMMKAbgEttnkb/FNmdX9z
SBQrx7BMQB1XgMjfh0U4YmivgIZ9YKeuR2Tv92HR+w1Er4SsBVcEbZR/+ivTouloK9mfkGCIv3wH
0GSWi4xjM5b+EUFqwKyhaq0KqOMDK+9BzaJGnPRNxfQ3yxta1ckK1IXFVS8vw7Hd1qSyH6wCcBAU
i4nghHJcR6ySrmlfWj8Lj7hqRntt0gyOE8dsvB8kZMQ7+3SXO7gi17uO0Z5+gdG0aWKlUoVC7iTo
7H0SRnm2gYhUn2PC6ct2jlLjrQEAyEwqe+MX1RgzBzoJNrJJfALnI9fr0aciQZbxUdGC6ay9IeT7
wDHuHvMKWXXjumKaOIengeaToZgYP9KGouPamT581RsnxKtY7VtvCZMjBUqEr1Qfc5UKM5u+4wht
UKwtWLCr3JdJsm45XbF7UeortwkLqS8P9MOMVy6vtO9c2jS75w65a9cMMX2lhZ+HayP3ddPsEHKF
LInyo8mlbURTlaq6V+7mw2ufm3WyRcBh8hgbj/jTzM5Vt0U21hPCJ45ttxXCoqPC6z5AJbrTWtkd
KlXnDdFjL6ISo7il770kDSyKlFofxpap5Q4cfTnPGo05iKnqYxDAYYL0Oja9t4nTjg4GmdD26Amf
wtBxrt3XrqzGbxa4ygmOEq0la6NrODuBkAW3QNO7r8apOCUxqcTbxuyiBKDMYjHPO1PN3y1T5xQI
BCVTBmHOTZ/K8Roisyt6++z2J7mapN8Xc16bpwJWJkWSyHQxdmU2zGwapigA/NYbGf2wMjVPtgHI
hnFV9RR5FkO27Oq6SN/ajn3CZulaTWxh2X0EoQmdxCS8xtenFcl2mQKipx6+JnKjUBqgffpQRPOQ
+30chNZ4Yu/bvlZhUWOuG5XHsg0+Jy0R5sj0bhCQ29Zk3+ttPLs21ydpk/z0loIWKML6BEdFjCof
Ys83V6IqMcVYHrG0Y7ok8S4kMTDusyGDExux+4az+7+nMcuTrvm3zl+LXdf/2/fy9Fl0n8XXz+aP
e7u/GWb0F/7jQJa/YWrxtJHXNSBV/zEobf/mSBiwpqUZupzUfz+O/d+wAwP249fy63W6+vfjmAC1
ge1FYfD3HMfyzL8Efcd9/K/HMRVCPgf7lSDvuxoP9cfjuE+EBWgoBzc6tBUX8MbkuqaZHImmc/Ch
8VZ4eQJ7jx9jyrhZTzZRZA31MDTfI76iPgTFndsgxvu26sYKz2ZvWGO7yySapNC0kAhTC7RWY3hK
8fv47PgK89KSx91FWW2bawtrwQ9siel+aaz+mz144ZlVOoASA8nuCKwD5YUtHB29FLsRr+7zTK8z
puVoTXnyI74CUCLWNq+OkxQ/KOPEI9dqVsqMEH3jt3RB1VeUypxL3YEr59s4do1LH70FtQS9QkQt
e8eOAHk6MjuKwPTplakYpSck+UL/BzO+ubIbaf6crniX4op6KWwrWFDyIcBATaW1rvHGZ9cbHzzN
iXGuyBizJjnWZPl8zzMJInqgngLNmzHGJj1HmkEDnIc9Bp1G5DlLTakxS+FemGWtjaM5NkaaC7hx
kRKb2F+6H0VTxkQRmzAHgdOOy1OquTiz60U0Hpfzk2Xkw8HW/BzyP/HHSFX9uDZtjwcpjauuBu5o
8k6SVRbmhCuQx7dh8+RXTE9kOt0OFEZ1tpKp4/ZaQfRpYz/aJlfMD33jxj18weHJ49vujCsQqNNs
oHDSmCAz49/OGUFcYFZWfUJ1KF9GzRbCPW7f51fgECUfB3WFEPnRPB+XKj0YYlZrYZq3uBvZudQT
/A3QKC6XzQa22U2lyUa5O2aPGcMIef7JporGYj9IoO1lLtxqM4RcZzC8KkBJsWYmDWjYe3UFKcWR
yO86Q3if/d9AS2TqLrNa4B/XHJkf+IUKJCkxzYcipmEHc+aU3pM0xcAzqeHNiKLwAHIxvFVdmF2A
KrMOc83C+yozuE0uGMJLDx53QM9+IGj4a7Sy+CYsTVaoPB1/htQv3kT2QN2kDP2XVPT5TqZV/xFg
V7od8yLENJkG9yTvwqNXRkkK0qsSt0Ob5Q91YAJI0mo+fYbvymxPKm22+F5YZThe58SATdPB3sxW
qA4zxGzUqSTuWK1ZYlPgBWCCT3BBGnmyrFouj+SaLPbPiVkW6aZWvIMhE2HtpQ0tebRggZ15/0Bb
y4uiezQDq+BCkrvqWAvhfxPKDyieszkzmsApJOz9wX2PZ0GqbIyz+kdYFsYHLnTykLQHAj0os4lq
woXicypvA8lvS5iP5++SzSsTZrug6NcV7zDH7LMRBSZA+l653/DtmoigfTknsDuX7CF1+MywCvLv
3arGM+KN0UHO5fCegnnZlVNVtDuqMoi/CKaZVW5Jh/pu9m05GKr7Ie28Y5mW07OsFmZMew8JnLuY
ArMQmIQZElxU0Vq4XXSMvcm5NIU1n3DkkX8Pos9e+HdjJ90bGnposMQCcBMSiHqdKBs8JfaQPXF0
WTfscBxtzggIS7bG/dhWyc4ba3c7hNQg5OxgjjlT2Kbr5gXRN2HrQusFUWUAQfBZu3HTd3542+eq
WSdOwxuA1sjCT80DB4RHjTgBae5tyqGjCqm/LElFm0TKYVyrz6WbaQSDurOGumLDjY4ASRrJzVCq
YZUYyMFWRJ5sWbIbIzNPPW/CIHLmHRcu87bw3P0ccsU1XAshsRYbm+4vo2o9vLZANQNdXQbpnb43
m0pTYpTVulfsz6rScohChqzcMxjiKQLOunKpWfITzCl+n99S/NneQMDGbDW4SbnOcavfsUbuDn3a
zF8pjg3ediNxXp+6Sll5hAwmQKOrxq4Z8VF6nc+Y1p18N7iMBCuLunWcvQZ7FzcnarC0cbX1fMod
MYjECW7G+MafVfIwLbbZ7QJqjM1tNVrtez2PHBlWMPc6+nEovCQ6lb2sg91S5PSrcxSVx7bOxIZH
nORPCgXrfYqd9tNvvfJclWCbfDBFsWHvWmLehCnz4gYet48uFA+XWjU0MoVtdzY8URxInX3rcph+
IrA+xzoP3sEc+tzrQwBTtPSQNNbEKMqcdwnvHLQttO0VDJxu73uesaMy9WxL3QTFm93ZEajkx4/S
D2RoKNR3256tfbb46YtJhuagOrfbGnBD9yGQDSKwV/6UB6fIz2POZjyOfLfwyqoKrtyq/MqwArae
vQDNa59jChiztbzyrjApuO/13yhYVyJWrOFYnYrgZHUamaX9gJeSpS3UtCtTC5Iy6VujTcTJK4Px
ztH4LQeeIKnWK5VLaUCXfWV1Rcswn7srwSuFGrUqrlwvL8pMHKxs5RlgJvE9ivOYNIQDDgxhJH6X
eLxW/3ur/Xe3Wg3dYfz/T5fau7Lpfv7X18//+re3299/g39ebg3HMEyDD6XpSGg7/1w3WL+5Fvdd
Fg0AeEy+8+/3W/UbPSeWVDD94PaA/Pnn/RaXOMXTCMqIxlDK2Zr+lXWDbf8rBYg8m8tCgD8JxnMf
WeHP99vCGFiqu7C/wVZRvRUoY1iBPSAwGTkdKVXV4PFtsuw8dHN/nGVuvUcWTQ0T0VBSJ6Adk6or
v+HlzXHNVcvZbOrwTrosz6OqkG+cHRAicSQqembZdvu1v8k0VRgFF6Dk4vgQmmuXiNy6SeEOfE95
MD5PZd0octj0AWqgmZmtwjHvP9Kk4RZHtmSfslrY0rgLTnI8lCQrLmYsbDS7yGXB2UV1L1nzQtly
IayurbCfyVrENs9z2cEWTZbQeAZeF8fY3WhXXFHWMNxXsBIfnBzT6L1fFsRvqmq8OPTF0SrKJWAA
/dnX6xEXa87FNUq/SSTC92ju/Ie0SdBwOlmd/AFqAIJgeyIyOO7iwWzeFqMDSQHkJXrOgKFtVR2A
P/KiUaBhU7oRNlb9QKto9VFynoA6noHdBDOVww2ONpBKvVxxsKy48WcoEw1u5yn1UIeMoP9oXApF
6t7MPm3WB1vugO2Z/wBdVcKIbdijcxKJZNfUuMKSATuzwwyBWMIKPqumrt62DifeJGZvQ2tziAXV
yiEMYb1MgIKkXxQK+3u85/yAoUihh2scixc+N7n1ktQCS3ju7PA37IKhuW3n6OAt7j3rohPlRKTk
jYoViPKzorprqCn392msZM4fYrK3cYWQlU1sou02fsvt+WHMNFBUeYc2mnde5ToPXDuyfWrl2IHT
fLoTRs8oL70tZslj3xQQ4rg9rxMfE47hL9EuxpOwatu+2OQCSdKcrTOFHScKD+s1VNGtmRTvYf1g
R+JjSJKza1WwcqG4XSLHxadsiQ9/Mm+4+libuOSG7s/ZCqP8yc7DX2aa3GTYKZ9ySnBNFX7io3jr
rC66nWcVvlpMCm9dR3cQpaLqCS8mzNUJfRDrVbTJxuYzod4Qbrm/3IOEGPIm3il8aisecLBPrOIB
ejihS8WtMI0FWF0rpINTZg/xovN7BFTfeYDuGgpd2IshlIrqDmvjvrWpCkcPj0s0rcFmM2NWp9nN
EwJTGDQasDTrqpmnp8Qv7zA8PrM7wa0FCF5+b8ku6Crw0xh4PyCaH4QrVnZdXKgdfUkjW9FfMmTF
pmPc6X2bFZZ5NxDfyDERZ0u6g4SOxWDwTo3rLbdN6RkH/PC8n7Z8cOgoCFGcp6586qpII22jM+vD
W9XYu9ItHoehRTCPYBQgCsYBXjbTzcnQV+cW3M6lJ3yxj8zwVXj5U4dfb2cI8T2rS5LzVncB9xFC
uckvEVKitfzME4kGnFl7x63NBfW35X2ku1eElQl6C4NhunPmgWvREmJ4Rs8by5cMkyMGa2zp7z3E
PayiIlIrtvXdqxuy2jMRSY5SjQsKxSihKS2Ja1ITQgEkuE5ApzcGP4YdN4z+1TIX92EUHpf1SqSN
nrDLTcPCDg6CGYz4xcW4taj22dQEbkH8zfnHkAN2J5raBi/eEtOzCG3wk9RYcYYAgsUCr937EDrT
0aHgfIP2059Hyuo3qi3qlxYgR9onr+QIaBRwOLVWRVAOp9BguO4ITu9m6RhvcUVjshc70Y8Ujf6n
qKv2W0BNEQKuao+Y9MZx3VBh9DZWEq1bOJMxwVuQJfcsfwo/8t6TeGFDm5wuLtlbr1PPoKTpZY+9
sttPSYheVMUix2jhOp+i/GVnlTqkfu2cWSiH6ZrByf1AxGm3Jhc/Y1Xnkvf9IDHeuYY7fi6ET+8R
Dv1iO0au9SuxbbCfQmbJuSvS5IMOKOA6curvRcINsW5d68O3yvxmiab+Fy4+zPvAD5mFcj0WLdcJ
qW0G+9zrsYneguEzI0wIokt/+9FYUJqy64wVWREFzEZegWXSM5jPDZJtCJkTPnJpnyEb6YmNeIV9
U/M4Ddf1daSTLR+y4DroxeAsv2V6+jOug2AQLt2jdR0PEYNLXab8WFyHx+o6SMbXoXKSoBLaJGbU
ZB/B2NkxgObXUTS0Jqru9XzqSslnBCs2OYWCWqeNfR1ms+tgy7r7UAuDU06+9xP35RrGCz3NboYB
UrAZvg7JACzFodSTs12G4V7padrUc7XRmTlksc5/UWUp9iJi/sbiW39BtOvQPTtrl1C4ihThVvcD
vaal7LPHbuaAQOESPy0KRXUxF8M+dsqQ9hsWAK7Zel92NQRv+XVJ4OX1zE1Brw4qvUXAScwwTgLI
/OHiYyX6oUnP5NvddNtXzve/fnP9n26gtCztUfwPi9jnMovzP6lif/+Sf9xSbVawuBPRnRxWplc+
/j+yhy5tODzrDOj4+r/ofse/b2FBNrB/dXQc0Pzbjvb3LazklmoQFPSphNS/xv9Ll1QLke9Pmhj3
Ut8z+VtqloPDYvfPl1R9HVK1pIU4G+Np13B031pqpt+KdRDzYFh2R5b54t5bcNxtYCzC8pIGWgQ3
pkbdDO007ESirGO0sKKkvxOLemUNM633dHMPuqW7K30L2XnIq7tEdNl9U2cGdjazWst5RMCqIkpV
yv5VlvhFTmXsK+zvUXLv4vcG0tLPx7GW4kfoeMP3SdeeB/hLnJXJgijj2IYz3v9omrS/D2fgSO0L
+uTzUKfjsx8HzzV97bMR02rCBwPGO+mrB05F51kRanjhKLgTnkTSN4rwXmQS9TkLvwhTjK9h69Xf
nKG1VrEur6/r3r7IkRMHnvAd+zaxLSpXbdj9qDs460128nyL1IhFOIpZ+i0s8V+0guouTM+FN6+T
sHAfWdw0mzkzD13W6BhXRcZwKmjiUc4mj73hGOccJq2u1dY5j3hYj63f0o9mN7bkOlmk6S4hHbrH
Dkrxh4KF8NRXhvs8SVveZPjL6NaRzvTMk7a/ON2z33bTrUR92tp1FL6zBQ6pDimpG9q4o68Do5Pg
vBZJPNyFnhqemLeKZ6NGadonoxifYNyIR1xBp0j0d6Dpa9q22/YQ60hInMi1BaYfoHOdTFyosmG6
yDijDd5t6DjPoXQ2BcvXLm8+VJdFT11fyO0URACeA668E8/acX5hs13u/GL2XpWcHjnBWata8fSd
SUm+Au7DQlv40VPZeNQNd9b00BpuAWcgJFAS5c1N38XNrofETtdBlhz7qGq+eRVcrMYAVRgU8cyW
PVTZy5zm2Y98wtJltQGIT5n04inybPciF4yb1Fxwn+DSORxLIRdct6TeESmDVBGX8bqDEZPrq9wq
ufOSID5ZhdduI8e6pZnG3lANNfFTNrktAqWbP1tpG19RkGS3Ze3Ux6R1uPv3ipc36i0kzHA2Enb7
UMy62S/2DRcjWJ5NyeY5LK3uSA+hcdQNoZtGyV7jvcxf9YQ9dzVU1fxlF2DcjUoz1WCSxiuK4R1w
9NUvd5wNd6/6pvqZseF4ocueGS0GQ3U7YQbRYeBt0tRcpYNpBByR9LicwBjIXT5E+VdMFyZwbBUn
5yhMp2c3bNxvgZmVj5VmkRpm698rC0/LOkwtL+KCm5GvmS3z1o7t9NylABp3TgEOgd22bG9Ne1Zf
nTmkFKILYZDIbYbqBrMiHHBAJuSAPasT95FZB5gOhWt+j9jAPHt+7MBTmAcozF2F71WjcQN6qh96
nKxg9INE8L4rSli0pV1k92OSiXPb01CkMW3Jtu5F/eQOxoDFxjGP1miqZ7dCIj/6UMkghnOtX9BB
wdIgZ/C/raGRLJjm/i97Z5YjN5Zm6a0U6p0CL8nLodHVQJvRZp/l8wvhcrk4z5fjbnoJvYbaWH/0
CEVKHpkKZD1WJ5AvkYI7zehmvP9wznfoGBJ0BH5eK1ybjZXod4amBw/F3BXHYb6qZRc1vj0Raolh
L2ahjU7Qzt3AT+IMuExohSe9CszDNPXXsw6ZJU3wjvFRWsiNz3UwAsL0hnhez3X4YJJRQis+g1+y
9MdI1y6AY6x40jUbM9wDz9zjjrnKquB8ks5+SHuc36wzGPSxb9732ApjfY5OM2iJHTvvcyC19Wky
FTzPRtJxRtNMYpAnjEUSBLig6W/mKNROwBYj0Hiq0m9TfUk0zphE624W4Y0yK1/kffqtq6+ZwNE/
UInsGeepvZbVt1OaXPUUHfUY7JIcX+iALbJVgYsrNFVrJez7Biudw8c7NgNEve22TqbnYa7feNMO
3EvtK8dqvxNh9ypjtcQBymrHAbUZJ6AlWIw94Q5+5JTg5bAWEmaFZTQcajD4uIgp/qMMnjHKhZro
9L1WOxcS7Ztqa0yKI5qFYrL2+KWqtQxG5rVqMZCRAMeT2GGnJMMY/XY1fDHIMFgVRubsFxaxhZkx
YapxqjDK+chYwE/EgV8Anw91QkyClkdcW5YEmfCYOCSWPB+s1C/7oT2UVsiHRqKrjewvdVBsvYg/
hzf22t7AbrYJwpyNQIZ1GCkfouxD7Y0vnjFssT9e4cvfInvcRoRtKUwzWl+bVMZgjYYCUBkUDhS+
WiieAHU6ax3lJyS652ZggZbYzVqlmBsijtcRT/6xqy3nFFWOtQH5X11D70t2OfB8mHscDtsEM+4Z
tp75yR0UEDSiTZ8SOwZ4x9P01hun+7JNbfaizEtYfSH6SMEQxysja8MHp+pV6Ne6CBisQFcBA5KT
edFPx6Is5NmcznQsLFTWppk7+n9hUvrfvd78bYXP5PEXJef/zl/msviZj/63n/u97iSf0fR+FFxR
+H2vOy3+iTh4+T238feiU/+0JO8IqBaW5SDJdMxFSvA78kKzPsHBwLjDtFVnggpf/Z8pPHHo/FR4
2qY0DR1VAiIEBAjCcD9s/52U/GF23KlvInW8jIJ06OwjXXtnPQ+9Nyp5LLTKyXBk1HmFkJMpK4d/
r+RIX9OIixx/x7NTahFIwNBhjWpoKAMypg8zuss4vMHWbRvrKqjq+4qq6wwrthSIU/vwyUlq7G7D
zKI+nJJxb9btuLVndj+iHMRRlHP2lHZgbW3Lu8M/p5/SZJrPhgZCOKLkp5mZS0e3/83Voxh9k5jH
7cQ0J1jDfqmu6shJ7iMxa8fYq60Lo48l3zPdbaEdRP2uI2/nENT2tLcHKcpDEwqecKrLSoaEJWEU
xEw/G+k0ojhtbY3FYg29xpGMSpK4usaMP9U7EmLQkkawdNbTPOGrAHawLFf6Mb1RhEPtCgiiD5pS
/Q0HSbUNrMi4MuM4W0epUSRrjnOspqgLNl3jejXWzTz8PEgE86tUDUREoYa/aTynvi5bd/5Wh/g6
xqnlUUi8b3EDmR7aa2qN3okMqHjb2Im4lmHWnQKha2eSX6f5Tif0z50bgz5KamnsAwTkMOrx+cR9
JxF55VZ4h16XrLpRy+NTW84kE2plBpi5QxpNmO3eMzX9DiKUsx+BAN8aRdlvKmW4mHA676FGf3cv
yWnGG+I65SPNFkdIkVbcMBiVC0jC6Xnqw8zc09arMy/Ju30fRRPZX+nY8sKswD1ZkcX8vEVLy3Mv
0Rgt60584Vgh6K6ydG/KBILZylYZ2BN9kuIh6Qk9WoUO9mvG7rJlel8NL6aLqxq60PQ5FZpcAOYz
dU5AV4DOyp1PRewAwMBo1xEwmTiPk57l521mVOcz+/mtx8wSITz5v8SojLzSdRMRDxMBzWL0TAEx
s/S/HdMccIPXY7WitovyLYrD+CwIy+Z6yiJrFxZ9gwW2Trd6X3dyLcySIUenjaFEPFybu8Zbgjtm
skBaLFamhvEqbHao8Qe/yRfqWVRl0cEJbXlAS0F6YUnqdLhSbTSglNCdHQs3A3eRmRisBQE83zns
QA9MefporeI0+6JUJ85DfYpPgeUEqExksvPKwj13qAoeqfCdKy4JwEkPy/AS5MR88EY3vXUmRt+M
a7obZVvNeTxUS9XrhuWzNMOeAVqY+orFN8SB7EsMvHs/gobAxRBmt3UVLDngI7BZzyPwMbFJQM6t
OjyTSTkQ2jyYxhlEQNbTjrGpRmN6FIgedwMa+7XOisSu5vhYuuQxIYQrn2KXaEzMO5HJRLNxEHwr
yLQEqye6J9doMhiszEORRlf94ATXccgKM8xFd22VXvXNgB/tolFQxbWAWA8ttI1h73iBdpxjg2h7
TJNKfKmBa1/SjOJengrVVyi5h/lCdZqh/DxLp4c4Sob7xJOx7XuQslPkpCHq/zEyJcPo9AsKUAdv
AvL8fONWE0+xOWqjCxG5lGQmYyeCtx5FKYx9P3jyEj29F/F20E89pIgJ9HWEIhzPTFRnR7eZyYAP
+uvBzZ9aZhB+xTrC7zXPRhI/Dd3z0JU0QwHDux3QoOEFO92AHUveFkVhfwu7eltrfb+hc8CODgVI
XQdjh/PAtFhrdImyb3U91nhUO01ynQk35amlXJweJjGnW01LwuextmYe2npvW9RlC5YslW12Zc3Q
CZEY2OoabzPotFYMwynGpYQYzErVExVgZzNfDg1zzawju1Pwi9yVpavsWlWF+zke3LjdJKGNvVkz
cQVhOYhYPrWmdVkYrXZjN1lSIfoceT2GrLPLPi8xEeCEUhCg536+TwuELTgLMzs/ylyYXy01yDM2
LMo3XMaJEYC/fV+12bMkuBJw4EwQHkwfLHCm0Do+iD1Z4K0IsJcVg3fKAbZfEFfq+KMMlnK8kz6i
Wnk0DVshnjemo1Z51nVvs0EJvTZixZ+b8bnb47EukRWiQgIzd59nZnKy3YQUOCIZvuRDDKnJ7vks
wheat1Ezgw80s6q9FVUCFsGCVjchse+Kz4rpKhaLcrJeRyvozoTIqNlZxbPxh6zQfguINvqGE20+
gZtwAcLEFcjaelAXDvC1Y5ubrCr5SsKP529LHE+p9HNW+8aW4Ecr3g60IcdKjsQRd5NxBI9CjIg3
h3eRZjqrAdzS14wwEUaq4fwZEHp8ERU8AAC1tfl9WXUBNNAwrtZhBcAYcM18FlhSrXuzUlgC7ekL
FUa+cyFyf44G62pIzGjHxsS9nqTBUsHp3HLt2KwsiCGe+II5Y198idKy3y/nJXgNOTyICR/bSvVe
f+xCk2uFLv2Xk2rWU4+btSZBrQjYcFT0QUEeJUcralKB4czrn4q2aYc1ZofpOiYOnf1K1c9vDhPi
ywCpx6UWFsapKGitQzdobhp9+SWEu1pvsclKb5bGuK/Gtr9kD0QmXcUgaY16rRhJoIgdvwgkGz5T
5R6gwjFMT7XX9xfRIC5KOXSsYcdgnzJqfxjrtq3Yp7H6MqfAPcQIFdYZggjwkskIASKakFcNsMF5
cgv6w0VuSdgXnNRXFkz6ZQgA7alANczZvQSpzfxuRfuTYmbWhwNxFBMeFG04S9LWXhJHquEybNNk
m7AUPJujPrsU4CrO2P4uy5m4RrEZWu3c+DKnO2UrNDpfe3eJoJlsHXaWhLwq6Z7HXcOj8DIiCSNe
dj79jpPIvZliT7+JhGnuTWmn53WQ9gdNy+avWuTiVdU8QKWWKrOTqvuEB1DIQ7arAgjNYNvnu8rS
GowyUxlclVobvelNmHxxaIe/zSw6mG7WNoYmrFdYdbtXCzYpUxANBZNhlMUubPPq2DqoFIvZqdet
qXsXA7eJXIJuvAur1j3Grl3e1ZW04L6qEscvOS5zOYoLmJAR3hmvzh8kGRrqBDE62EuWZiw7JsO4
JrsbCFOWRgqx1xiOF5YbjvFaEhVygcRUC9lH21V+bUAhO2tCs6fsw7pNxIrHudMWLKiTJAfOTNYA
r7b5WogCIE/UNMN1ozxza8JP2BgK66FPYEt7k2M7xhNawYrc6UXQwVQFJ4QRp/hN7JKxGS7GV6uK
TeYQWeE9e1HEtqtDDI8n3iVimEGRaZ/ZOBMuhKbJgzYH+N/RgRdvcZUzLqycxSPUiO4wKwVPrQXS
+RKodI7XOkbQs0Sfi9eCr+NJgoXamZ3Z7mWZA/C0CkF0nOiTmgA2Ex9FrQQlfmAB+tYnxpQMCVxA
9qgrr2LR5GeDtBU4VGk7ey+abPC+6VzdRZ1Vn1iZ95g1s6R58JQT3M221xBWFlkXrUjM6yIOZ3tN
Mbk4r1qFhk1HDbFxKi//aodGSbY7AzjZVhyfjRz7YxC7rFvTKgFNiSvEpo7q8PR7cTdHKL2acV3Y
Y3vH+HA0fH0EG4VYAJdcVs+Uptn4nGASQGRfTYAi+Xz1t/RDxU01leolJmqzWtdZPm6USLHCpYN+
FqTWBEabVmJrMa/DZOHFHgr+XDI0pqonJoO9E/qtGQ2nEjy2GDJXhwJ27t4pvfyuGkI4SnZI3GFC
l/4lr2bvmItYHl3TALWFA7ae1w78El/xPcNqXrOKQmk3IKErDUGSR6ObV6EpiCzfjWUREQY+o+O2
bYqhtjGPc29qN7ku3rAW8se1cc6ssAxr5wMen0NWLngFt63gnDHdvwyF2QEsEnr3ddBsiwOOcLzc
r4pZ3VqJrTHkFiBpYJLlfPBDrm1vOsee+zUxAsSD2A1HI9+miRyROEeTsYfFgmEESEqiyJuvtS+E
0ef/BafBf/dJg2mhc/rVmOH+JcsWNVb2b+uX7vXnFddvP/t9xbUYAxzDdAzLtOVPQixXfLKFDVzc
ZmBATPSyXvpjxYXcnoECeyxXmsA5/zZrMBlEGGin0KLohkWG2j9lNFjMDD+tuHB7wQgBDsKujWy1
hf75o88g7AUhHkjsN5XjbsZ0lyTyMNeXFny21rqzRbJDzbMNhngR4fihhw5ctptOnNBuXQgDTJd1
YdbMIG3Xl2EH7uLQ8wRqrPGQu+dgetc/3Oar3wxp/wbV6KqMC9X+x78zV/nwioGn2NjeYIvSTOgY
535+xXylZnwNE0ZTiQcSJ66Ynoibr7EmAd+6N+yB67M+x5svotC6blXRYF13ZPTVHvJhpo4Y88Ev
u7L3fKMzO2Z/YSvaDePvNtuMZGfRgiRog8iRCiA/qsICfztbCSIu0EMES5ZmgaLFI2qpsPPSWCUl
fcVUGqz/IHJjyFp8xsHetrNu3rAcxMpM6B+++DrthlWn5wzojU4dxchjknHsoBIeLeSl+S0J8Ago
rMzot5TV3ksJnOqYUMFgOMhHEAsZew/MDFDJ1bqLc9qefrQzb63MEnoeeSCw38hr2U2zyWNhmBuP
JI46n1HR2z1mspYY77UcgkhbEz2qrZOhG6CYgRHZV5pVMephYC99r3cZ3gD4hM3tWtWMHklyDu3i
rtaXJCYsJYnTBpo/joP2VXk103ev6wZ4Y2X3gAHiVTaaAeG4agl5jrRqWMeGUcuNDoRTrgc2nECY
Yztau1S3OMNsc/iGk8+51SYYj+tUr0Ng8RgBH/HczRVHYRq8ukSSfUVywi5kboqhXpfekpOb4gEH
t9WwpBpx99arcgiWZCdZ22+RNiHRwJCJVaTvyNW9nAGFZHQ/TVkh0c7CR69Ly/Mu5vhfGx0RmQCm
GunraTE+t1nHHDmyR8kh0aTNTVI0GOlIJrU/h3lGsVePdXffDpqrsxlwU40E6lLe18QYd36cGx3H
4myHl3wIc/RWc2h9htNhJLtxBLC7zmCdpvz+uL/hExeJfTvbI38ZPnP0eJZAdqfjDb6lh2XMR/6L
863M4Lv1aRrt4DJEF71bL+uNyj7XjKB+ChgRlXjW7JTUizp/JBMbGkrKrJodWBglwXZSjJ9XIs9K
EitSMZp0z1O1MctUbjNMLeVRpE6GhU4V9mMwpECs9d59qJdAKNmWjbEhszk4a5nTB0g2A4fh0DQ7
167LqbzqpWZobAQsDIk2BF02anZVhxzAnbnV6phwUJCGiM1Vb6NYNppqINMYcO51TVXWYMg2xrMs
B4dKlnhFo8u0wLlNPDv9bBhsW1ZWm/aE0BaluIvIT6NM5LLYl0J6ARAZBAjOo6OT+JbkNaF10kO5
TlL5cEZRUxDR02rtOW3qmO8UsUnusWnhrmWemky/n00iz+wBRd3EhGdc50Bdn+yxGa7ErEa+Ao5T
H7vYPGcIi/9IY8pJP65lKt2YbcPWrCJRge1vH5tnBSsKHQpL17JRJka92iQqdOAU48QkBy6wSIDt
xpzSuq5xacZSm7DQ8uaAqTP1qHz4P469cnohaBDMcrgAAya+dElcPJOZKV8hTKC2//XTVfzJBcxx
4KCfcJD62hiVPwye2zKTgJAbIEE74iT88/vgOK8YRq6Sm+T09S8u9lFesZw9P17sg+U4BKSRzikX
S1/ca+Sfw83wpt30x/yWMHTE6YdfX+/jUcfB4envuR0IQ6gll/f+Q/BoKVWmjzI1fSIdcHawITqM
JU/8odfmt19f6u+cUTi9JV5v5vh4mcXPl6rnWcsHPUPJGTz0rTgQsOU4nyXdS3bp5Slold+Kstfx
f4Rv5d85Fhez4p/PcRYdMM1witOz/HzFmDodBiv3stwQpvlKVID2YF1VX5EP7Mty9cAK3EDhyVTz
Utt/C7e/fr/vb+gn9/hSRvxw+QXi/cO9NavYYP9ZZZv44ku5czaIHv27YnfS/upCf9KNf7jQxw+o
haG7n7nQdK2vh924cs7PzHWy+vYXb2i5X796Qx8+mwTClQ2NQLYRj+ZVewEL7Ca+Lke/uQx3jHJ1
igOgI767l0+/vvLf/UP+UJB9KG+kkUMQXwqyvt0MF/kdlLDcLy768/zh1xf6U7jMx9JvuQU//M2o
TtiKW9zKjty4fFuu9Zf0KHchYfY38edfX2z5+//pdv7wrj58Pix05+QA8K6yWw6J4Ky8ZbAa/sXT
669u3YfPRiiiiLgHLqJ95ijbWgf7M943X/zVc+uv3syHz4YwnCL26JM38T2AnXqDrHAgh2QH23Q+
ubVvPWLqROYL1w1LobtpT+83819wxn97K1SspsPX//j333a2Brf+H/u87+PX6OVnOuPffuz7qtf5
ZIGzwIBKZCNT1YXE+H3VK0hrAsTJsBXuok5q9h/9l/0J5zf7S5osRwjhCr4b1K0qoiH5tHxv6Mtc
Jhc0Tbrzz6x6UW19+GYwWrDYrXrSAQaJK+ZDvAHA9rFQ0NVImXEKeP0J9X9n9NblxHp3HwHqILy2
H/2sMijIvc7GwSsKe5+Mwj7YUlqXtSqZiKNAZOTpTr5mQJVwI7ZbiRtUftdPMYweVRzCgsnrusWz
uJ+SsrwT2F7WeCPvIulW+yZKyDFGwxGI9irIg8t5Fv7g0tZuOhmj/0Xzbl0179zqmtuDr8UUoGlm
DMDaSgxCu9EW1rUxtnhMomKs1hgemb1pWWDdVgshO3Bz5ziHHugOFlmblqnbzl5w2h6Tvdh3Fsg2
GbMhpgbA216VocH3cvFQTdGTcBP+KwPf63QBwIcF3F0D9y5WaFKiN3ehe1dMhfZdPpL+J50p8DUt
bC/bEiXR9M4Gl0qnSLS9oH0bO7vaQ5PszvVSZ9JkmelGQiyKN1kEcLwMnVBD4V/Mt7BgiZ8F2MCy
zb7EVlTvg0ixT3ASVz20LM53rHvUTsvNEgBd33+Gyz2aGyKplN96BlQTA8oz8OcFjA4rO3lMiJt+
ZFiGMpDEOyDqdIHFkZyYbK/eIetztQDXVY+OJ51SXAJol21/ahvvXF8o7VyLcsnqXAG8OADttvDc
sVlG58475B1bbnfuLuR3k+IGxXzT7Ot3MHy8MOJlXl4GWjjD4RKa3NgLRz4G6HcMbOBKCFzlFlVn
ehNH5AxYAvw85Tzzsdmpmle58Ok7wq/OiGOfjyDNaK/msg4fB4aXOAGjbNcY1XMZoKZjJl7jGjag
C4+WTkwCo/Jt+A7HZ8EVbBX0ewyQwaKSYnV/QG/TEsWM2o2d2ELah26Qh3658PcDOlfobwuVv1r4
/EQhoHp6h/YP7wB/a2H5G5kH1r9bCP+KoeNZtlD/NeLIr4kSBqibw7rDV0I+APjTicBRrUZKHiwJ
AtC3m2TVL7kCw9Rw25asAdjDzV4Gc5/tOm3Sd5q3xBKIKbfPOGpo3pfUAhyv6BGsJcsARrvHao0t
yY5MEMIObLNzmDqTgGC8hyE0iUkwQhinFiHFRFre5EtyQtYZzMi9mTwFvVTVGpkD+Qx45BByZmNw
IY20aPDehOGzt+QzaH3cnUjgKfn/lvgG3V1S0uuC6QS/Xlyjx5w3FrPic8vJJZZ74BUUEjYEUVJK
7vqGjEnIVVG3Ht7jIwBwxT7Yi/RNlmN+TvQy8HLX6fUzY0mf0Cs+bL5cMikSvrAP+pJTEZfE8S7U
GdIrenIsSCFgtfl+pfI96II+Y4lkeg/ACNug2HiSVIywyY1F3kpSBhSenu0/+RktESv2KlhSNZh5
mpdAV5svcsncsCus+7SFJHHwdY4kZL3KugrAn20h3zenGVSC72Zx/8yYNj/I91yP5D3jA31xjuF9
wOJTZtliH0ffVa7Nhoj0s0rCvjxaTdFl5AmEzr2pc2NSu2fdMGV63PDV09T9MDo2epSkPHqFV2Dx
s5CqKQ1NCQ7Aedd6BE2xk+jab4wP4ieCJNCc1e5o7x3ZdF8yJNLsSUvyTZWU4YXphTjPBiAehj9V
cXIyqiA1LkFZLk8yLYteamy6R4fJ9ilFR7dDSDZuMc81R42s1QWzyTgDDQ8yCeyJ1hZyonYHe8PY
mZEXP/etjLdZXokt73u6M+pumG+iKSNwa9LsQ9oT1Lcy8qaL0VOKRS/TJVcJ2Gu1QqlbfC3hcJ/c
vmLWrWEj2ylu/8pxenQMhhncW/CHOiZEmtb5gWLxkrRZ9sUdtCg5FSaSxhWycvm5rNoeqj85IR0n
Wk2wnzs1Xb+WZt2E2z625wcSEjyxZq1sP82JC+S7qSo3IOe7mF6IjAiIUvMme5k9aLH050qaF22i
g0vrQpcEuZyWuj643rxtyyC49LJYrnoaacIHnUY7jI1ensKig2yeTBFoQCeNGofDLkGCgpCV15Zr
875GC1Bdt1rTPoqwSI6u0vmsYViogNVlk8fiaRrNq6atK3bIpXHK+wDAadXl2BxJdo9vOiI9SJGt
w4FV6pLQtkE1nmFlndBu9YZgqZBDGFwFRsT2jaNlPWS9uO2M99ERO4PH2q2WID93LDqmIWDgtJZI
QiY4HbvTKQgJQ7S6piE4mRDoc9os9VnXqvZUDrr5xUALJ05zwbPSTwZHG+Etsl7fzYVrP8wQS9WK
uIjwOAbVg+qq6mGYWla/6dA08Z1hinaPGE7Vq9JEPI4VwDVRX3v5ZyPQ7Mc8iML2pqoQamzcvLG/
KKYgGARlQHhzklTiEplMSIh0Wk2s0JTbvJme2dzWMsjKY9R47mHOU6/0gV11z3i6ptcI/t3VhERp
P7lzBaY/wVc/A0vy1izvcgLSCYhJnnDRwoXR07jsD4xHBCB/UYtN1gfWeWWAL1wTyDjYq8kKRzIG
psLYakpvouooZVHK9jLJvIZERb7ixquBq39JL8nkHhwTCvZKEJiYJ8IArJtm56E3NwReY9kbHIW/
ztSLkyd4dcjoYzj9WvYUkgt5RppLe1khdnFWE4fyUbNTeYbkU19Lbr1fNCpljlR0L+HY6iuPdd6d
QelRVahcMYHgS8674jSlUXrMKV/WrnLdZj3Vi2QWYjE4A6OZ36qUvPR/vl34/wPUxyFmUj//447h
4qWJ//P//hQJuzjn33/q+8LG/oTmzCa27PfNCwX794bB+0SJTpmnO4LG4d1U//vCxvhkYxYirJW1
hLMAouglfm8Y9E8mCx7sSp4jUde873n+1//8abLTfvjvHxcgy0Lmp06a+Y6FvNp2hG3YoAR/7tq1
FC0OrnLhw3QJtyZ5Wqd0Edj8cFuufvt9P17l/QX/+ToSef9iwQJO8KHJ1fHtpVD9qGHjwLEh0gLz
WxCVoM9a5rpLEUXK8Ua4s3ZDNhrO4Mywe/QYnh2PHDaqvm/SxIX5g8aeDPcoNBmZMKKfL0GXRNhZ
67hlDJzHOgAbsy+vtQJbAKU4znGeBrNzSiYrBTkLZ4L016mmIrdirXXXoTOPZ3oDNmkdCbt/ckKp
bjJjil5Y+bOrCclhh5ztNOHnUvB0J7M0gSTPM+VeQ4pQ+7PMC84A9kw3M9sPDJnhOJYkzniI5ruw
nkyiOepKrBPRpm8dlKaGV846eyXqEIU9wYmyXzHm5RSvIwwTqISCLD+EyPW1PZPxwjv0Wq6mFY4p
e9iINoeH642RTTjokL9FtV1hKRCo7wiGaqdn1BYWuOCohbs9YYJy/K5ItZQJv0XkUMp668STS39M
plZkfoow/7M7m943S/buY585xErZk2LfI9vGrTYhUtoSvG2tm+uyHVtJlSa6Yq3NPcv6qaaERBiA
Q4v9RwBRX/ZFeIhr8tZ9jMPqPquKKtvaqkntnaxh0wCathCkpT3n0RqUsflkBLPzWsRj1fh9APMU
CX7QHNpYoiw0Giu+dZMFj9ph7xf7ZlQssHllbcPJHbDJGEIKpbWTovZYB5RpxsqrjBSVAwDdq5A6
4eswOfONXmQueqc4G5gWDbO2M4dgBrnDtgkJxtQUry2m06ta5HxmBmajhOKo0eV8aAzxjaSUCYW0
26pmZ5EuFWEIoKH3hT0j7PL6EFmG5crhNqbcQsLaLSylSi2vO6/NMToXZabA9k7dvM8p/C2sRl74
TJQKmh0OcIzEfCt6aAVOoFN5KC+50sjJXGNlRW5N2ppzpbmLPiLndwBfKXthHSMvDCy4sZbh+Vrh
tXcJkVdsUrJavXqlxfZn9kT24ERhddtMeRL6HeKpV16tASbAwsWK/E01NU3pjBUpHUL7OlJLxdTG
9JzrLMdvvnKrEM7yaKDwplOlPFnZrfSeWwVxYNWgOgGlgYr7viK69kkoAz94RhDfQZoVok6pT1jN
tRC57x4aZwjZF7kKR/dYWG8KjQ5JAXK2kAhaEUYxZ2JduEYZj3qBysGYl0iAXj+Av8DiDOrBfS09
c8YpUufhuRF3ZrqiHxDTpmPrk+yxxsurALrAswNR4KZyiPE7A5QAzigY6mQ3RxpVttVRt/ipmWJJ
SiiBMIUlACNB9Y3q2KYKcfi7SYxP83ykqIzfVDXxl4JA+n3U+K8R3A8jOE5G1/q12+L8Jfz6kr0V
Pwkg/vi57yeq+QmCBYemx3SO5COOxu8HqkXAqGUJqImUlqgdOMx+P1CF+ITMjekWdgvbFDyL/zhQ
3U+4gQ3OWoe5HhuPf87lu4wUfzrobN7jMgHEt4HBg5P/5wO1zru+QTWbImJkPb7U6vLoLCJRbXoR
OVRx6+DSI1a6eWeG922xNeC9aA1LyTA55WNNsgnhzhUpD9cqmA92bJIwejGhlx2ZL3Q168ARdYWz
/fUJ/aeVy/K6GRcyalvSYtBu/Py6QW7lKUHCYOU5fgzE5QjWkWHsx4MzXVo3HnbBza8vufzGH0uP
j1f8MMQ3sgAAikUIH2mkkLDo9uqvQfxX7+vjhme5CtZtVCkMS4mY/fC+TGH2rRbD6TaeG8iyoDfk
unFWo4MwapPgdf0LRYn40wjWsRnBWkxg+Z8jgDT/fCetUElwdAIB2WSJdE/YAoEGjhi156JPUERQ
p3MEWgTNECFakzO+I4F9eHN0rJ8lvFBaz65mfqJFtv3oND2CWgfrRLPrUa+rnUF3hcbUtIZbNLxO
iWymyomHnJgyf3ayASuooWETW5PfPt20cGe8VZ06mtgEOknPxBbobJxxt5FGoUaKqK6nYfIHG7Pp
ZjJL7RtOyum67mfEmrEpLvVMccMK5n8cyF4B6TyS6dZ0Qx6cAYvt20ouTOa66KP5MLHHf4ujGnw6
Ea3yYpri5ble853xp77D+ujhub3jBjL9SFgYxX7vJHpNiHhKb4qChdAw5NjjLX82fBcE4SRXLRmu
YldkWbnVYLpj2UglKxIWrV6BMhWxzoa9Nqc+AfVAnToEMDOOvFG7VR0yDh8+j4eUsPX0Rxvt5r0q
EIUcIxF7DTx5TAnNGE7XU1WSnE4A0CJ5jOntKHkKZHtY9xQh57kB0N224bn5Orh22CqTJIpjdu34
CzO3BEJeUKhroxy825nrPqsmtO7zijhyBKcVwLmEQqNe2WNfXsX6VD+hD8UmKWBOvKZuWbZ0wYNk
tKtIl12HxM3yMZWYRU5jxHBozRMsc3ZuLnA0DhZkIHL4sgAsol6W1cYulMEwZJiJnR+ETbKF5402
cW8qQn/jWHGExULrVAAWSUOObHhW8ggSoMaUOWtVvp8I89XWYlI5qYLQqYNVkc1tuDFIjTdPdiSG
+tELanSGzPRQBTsCvUAbINexGscCMT8BhKGK7fWeMzpvTD/pB/epwija+pUdzy92nWfnNcrU1sfg
YumkcZIgvnZbr/hW4wbDRAvMhWh41YbM1crZu+A16QbSpWz4MjnJwmk0GjQVBXR/0nYthDdQjtqr
SR8dEskbtztTfC01H+17dCRG1Rn8BNlp0Ib9rTmByEKVUXh3owMRcFsO/Uh8QsYgaAOK2cUcESh9
MRB5cJVpIoq9BU4cuFGK4BP552hCwR4bdFnAG9tuZdq5DXEAd117MPibPwVigmzdUcJe55FLyn3T
9vru/bH5r1rhh1rht72bYOP6j5vv9QsRO+o//8+fqczLz30vFsQng0cLvbLJZgFDJf/0vVpgK6fz
hAZN99u/8Zz+o/32OBfo2c2lJHDg7fxRLWj6QmaW9N8UIdCel87+n9nY2ebHDnyB4xlLO2+5prR4
qT8fF7nBZkWUeuT3WajwCnUwuDAOenj4FkcRqYbaLjGH6sp5Nx115mBnB5mE5rbBlRSjoJoPVRTT
+UCa0Odt1ttk64yxZyp/Sp354v+xdyZLliJpln4iQgAFFJZ9udzJ5tnMN4i7uTvzqKAMb1PLfo56
sf6wiuiszOoskVx3iaTEIt0twuwag/7nP+d8E/DU+LR+paCkp5L2ME8F5/Fs6NebwNY/+DduLLZ8
6H43VqJp7yJghf/IePCyLnMPCw+Yg5wHjvpuqcEG5vEYQ+QZk7SBPE00YJ98hbcoZrYZF5e6/Zgm
ALizkaUXBqjhCg6z/egCa8XDpHLnabOlPUm71fsMNG5kNkn1c6LBHdqJSH8uiTM+WLPvENHrje5i
caN9uLRvnfqCJqoZ9+N9MnsUo5it5R+HosDw6HTkRARdetQEqTc3m4nMwA/Hs7747XfDamsM8M6C
et/zXb41FEI81pOf3jh6dK6VKpq3gDDNE/XCc2Q0I00Qvsio9cCFvVcYWcXOMRL/ZNYUVFR12p98
0qIRpab1GTw5SNMhx8G+UJN75eHO/zFNo3Xy/KS6H0ot7+d87O90ily88wqjh5e7wCNOCtrNqsBO
figspo8L0aoHO0WSFn1G30fZGx9znalz4NvW/VRWGSslXzmRnGwHpbZZXvMxj1+CoqoPCch3Apux
d5bwQL+55ESTqBKYwuy5gkIWryRO7H64WpKRehd2eVdrPIiXsVbt8+r39dNqiybCPI7DfB7aM4XQ
FflAKNz9bJvHIXcbtjbOB4ef9VBT0nLFei74CWX0vdIzi+al6I7YRdfXoAzE3pjjKkKP8H+h/VKy
x7F9RzCoJRDZTnuvmobvLbVNj30/ehg5+/E+a53iO3lkiIB0ggT3kq3Ip23TUdtUeNjFeFDKmc5k
nMSTg+pxqONueGpGy/vsJ9m9uCAwSdu12Y/ZntLnCdT6IZ8atsslLp8jMWMkJZ8X1aOG03e2MgUr
wo1FdSagR10avJPyyZZxej865KGSmCAnBC7eaOQESupHABVEipdPEsI9rG76wgeZ5Fi0uO6C3KoL
uDIsafeIA9MbxuXk6Cy2eKQ8oYKvTXovoH/2MbUHkp0dNN5GSUjztEfuKsvsrprBWo4+AKd7QSnM
T4QZ97FnGbT3SFNeJW2SR4NDubU9yfU7yWkuvLEyTnk76huLCPcz8Ys529WmKx6p6G4jhb5zL+Bd
AMaOYzZ6qrxa54lSSeI8YS2d9TjoGtcsdcvmbU14ImL6XR5niMLkYC3/TnvLcjNO6XrSmTXfBRmN
aq1VgRgXLpkm9vc35rz2N4acrPu4o+0wFwIVPi5NHRqVTaRLVZNxwDwAPssexUfeQooitNxxZNFj
tgXMG06i0qaECIHe99wX+MTN/ZwZt5xVL4VpvWRsV6Hs4P4Lmd/qu8lO88ckHXmU0YDSoql45odZ
CUpoVG8sh7ITzq2XqQXjrydfKy/7XKxkfvb4/h/q0Vp/QDynrnd12Fx17pyBQXQ83RzEot8o5Xwb
HGsDXEyW+VI4WvNNcCJ/GyoJ5FlYw7U1Ld51DCHyNyc3RMk2mNqzkfkdmyg2mmxzJpq4ez8GPAfW
WfAvsB2oEQOZWpQS4R89zxue45YIE0lUXxL69UxgYv3EI5XbAEVIbkXhRr/Q/Dy002NWO8sdywXO
39YavNtKjdcemXaQtzFh531T4Pbez96kT9Ui1Y1dF3QQDn0l68PYonPs0tbSKwnWAMPDvEDq8xAK
EeP6gDASKIlk5J++VYVWxvt0RzFm/sJF5pM7K9PdNKZE58ek2TpxaEKhGWQcexzG6XIz6358WTpH
v1cUel4qPhQrCoq5hhWn+0+9GmSHnUFxRDebjp0XLc0DtCOs8BArXeFv+0I1vXn4M/Aj2GI6pGuW
DtEw13oKDVzgt9ZiyGs6hXxO8kSua45ZC/0dVZaND95C8p2iucT8PfEMYuhu+hreeICOVqeebpGd
WEM+CdNYqVg0FncLGS4k5mY1zjf9ItZbo3S3e0JN+rVLK/XdZAvFCGZOYPK68SDXXh3axAaxWdS5
8d5iceCFA33T3fuVjd+kdI2Br7DceztpaaE1FGPIjq1lDv+b1vxlN5tNdmelPN1EA2OqKVfY0cbM
G5T6p3UdDv6ou9tGjKQnK0y5P2xVT8VVNbUj4MWScib0sDa5pd/RFZGurYyAmtMJI+ysefjRlXUM
ea8WWxKwVm4Vza5H/r3SSLP0ZnvXzC1cX3RZlBuCqh8qHOo9caPSWbKXsixAohYulUgxlyTV4XV8
VDLOKaxagX63hfOEh6kBJ5A6147HQYX1fNu+9GnlvwsXUZI9YyPeW8O0tjbtJmKJZR3lNNB149GP
vatoB69D7rfy5Mzpm1WU9nWWum2UlWD8evrsP1Z3Cmh/WbJr4gh6rzuwe2oEVTkOpOSLsQMzNy2s
kXnCtCcyld25zTznlhVl+h1s9a9AxMHbNJV5BLSQ1Bghch6qlPXAHM90FA89poFE1NdrtZzb/Kco
pTxVODSf2G+u54bnN0/3WS5XpdLG+2RW2bkqDYCyGW9BSqfYQVLZpIIAIk2woVW7dXRi+gObjd+o
auuVrcoUhxwfzfe+xgFvOpygkGRlvUF5xAe5SCOOHDE0b06vq7sOtzwL1YAkeSvGj5xfNO1C1O46
pjv9aAupnlamuJ7bJivvc0RSim4BN8wYoyz3xiII97gauTLwXKT6ClnYPTiyhiI4meDTgcB2oZF0
issnI57GPU55U7pu4fYpj/Q4m2/m6kicBWWukssCbIBYYTLhKUmHyf/MC9p97cJdgNsHorsJHFW9
KsIP9NMZPR3FKieQcPBlZ/h7q64IarTsPaiV4K4ew1H1y2NC0OBSpfTFD8lg3jpyHH63w6hOnXL1
b8nlcy0z3AQmf6L2KWnGy9w1+ZOl3O5TFlB1KUBLADQNefN7tgcq+UfZ0ZlfVRZfScqz99yo5ByC
bUpUh9nXj4ajfs+j5X5UBu+DAV7AbRuX8qbigXrM3JEiJTVZZ0ORRs3JHB7cwqZF1rBHgnjNgtHA
0vbiho1tTwIfUa6/IaB1D7OyjPdCknfvHH4rmegpryzNJP8p6wZ6BiUit7Woyp8obt5907akaN0y
L793QBUuQZpMR0fY/dPcpu4JXgk2MuDIwyevxlnuWgkF43HUiSoZx30yQxafqQDLhINqhzay3tEq
wkuz9tb6ObcdXhtbtB4/DfwCkS9smrItfJ9OWw7fXVb/yUnc8kH9R05/i+zXM/bGMP5K8vtiGT6o
JHEg3m1Rf+rkSf2zBxgelD2ybvC/NPgBRD3KQMwDHp1lqw6omiK9qxaUIPo1tXrgG88fUkIq/T7A
orT1EFQ2iadFwRuV2La2VcE03nAP08e0VRtMmaTlgK3H+I1EMN0H5mj3oC+2joTkqy4h/6pO+Ncn
6P8/Ntjwwjfr/j8fov/XUP77v+GS/fyHJfafX/jXFA1szsamSkKOMiPb2/KDf03R7h/wfzfl2LJp
YBcW++2/ae5MypLtCjw5pmmXyfbPJbZlMpbT1A40A3mffrF/ZYR2Ufz/TkhmCCcPiT7pCuHasMf+
foI2aoEnyw7yyBaGBtPslvVDRZ52OWIpHAjLiYJTV7vGKFsZ2SXiYDUXu8EICYn2SwKLp6p4d76E
MRzf/G3SRwhmHjbWLBQOTNP4S03DJYuyNn2pbB2p2ebikCMnyVs552mQ6S+P2PNedR7OWV/7E3m0
WTPn4eZqjzYhGRt1S1Z25Fp98xhg9azYKNad2I+rKp7jepLnFUfab2USj9sBHudVmpSNdUn6GQ6I
8lbz0OasrwJXT69pF6gHwTLi3NhDhV+klGzmYKzLECq41YREG9yMbpu8XY5NWcQ3cztVHS5eenwu
/3NX/b/gCv+hTTlcZP/8tgp/qe/9fxWmti/665aiW9Z32TtZ1v/dVf11Szl/WGyv8H+4zpa/2e62
v24p8w/abcmruhYsLy537rY/byn5B38ggBz8xRKz/5V7ikX1f7mpbHYmLDFQvySd3P9gDMEA2oxl
CV+ekkz/x1ro/Fr7IzLoZHB5du5U3mvdcGRx47Y59gtHE9TxhvAHDUYj9SkUl0a1KuUHCRSas0GJ
u/RdUKe9jHNzhR2NtphKC7Y+X+XbQ9cx6Yivcu6478Xv2Ui7l6ygUHzHS8Ji+9za3Vbqb69v+RRQ
9Q1BhdNLms1bQZ76RlGQ+EW3QfqZtvSEzyR+3/LWTk4QiDTHzJWc4rQVjI+8yV8n7a0vjYTzNwZ0
kUPFbPZT4s5n7jHvHckwfRNpQ6WJ4E6ltYpe8+mr4lyxKfvot95zUqDjHn/g1oRbzxSUttio+60r
Pffnkm5TYymuzVW0ZyxC9psl6Fdnczhe2bGkFkEUE6fsIMYEv4sRQuhQwed6XnnKUkEz/GKZMbya
XzXusQEyeogz8736qnlPQAneJx4j6Di0kUsY4CmAjshyfOuGlyCmVNRvjfFZY8qTSayS7u1lPiXQ
pUJ8GZ9BBYgo8TQ1tpWE/94ozxz3VqGKK6/x6Sm1kEP2wrbrawy+nAxNlLKo19hewUcF6HuyQlrT
Hp9sUrIbinLRBlHvJOQ5S5q6+sU+BspVR6COB80Wn5ArFM6+WaKMou1dZsj8MHYa7g8ifOh601Fn
Rn02s8T9pE6ufo55uuKNtL93CUoDxeg3tgd2M89xI/TtA3TE7pJ6tsT047m3ZcypHcfFyUr622Di
8OHbFHbHClUiLZ3ruZg5acrb2oFqGYjibJN83tmDWFHf1lu75zUxifulzj8yxXmUPsvXnkpWZC57
fQbt1NwbSZkeff6/yJGrfiSVZ2/QOH4iUADgBaD+lle9X/lH/BPit3AqysjqZq5PVNJ6e2Ek7nsx
DlunHjHxa9/Hao/FWR6WyWNSF6M/viRS+JcxF+udSFYfaUnJ+V6LOv7BbGczecq7bEmWK4tihojY
RXmohX4yCy/mo7X90FHQyWmDYEauuksV1HzXHMGKzmterX4CnG5STeZkw971futUi2MzfKs7Rmzd
u28NLq1d4hvM5MGQ0x8Rk9ycLSBFzhIa8OYvLZT7T07J5rJbgSrsvdljxY2X1Xq027b9Tn0sLClZ
Wyc6gB54vB19w0/3nFYdipq7MZq4+sgJ0FiTBnTVsZ2d8LumpF+7YvuDqj9uORDOx9mJAUdRnoc/
ngZOp07TCKdxvQuSzNqveO7ZavV3IMTqqK8b6BdNYJ0L2aY/MWKOfNd517zkeI9fLO1MkgInqwow
qGfZpQPlee77un/2ya/vsaebUdK0LHZWpyg/Of/mn71NAQGSb0VVd5oLBdileoY20DwWro3/Pqho
DFYefvodqfgQ3LWOehKvLKbaog0nUff7zqifYgGqk96+2zSufgzJcttou7weKkMfqMktqTRGeAQn
up/0YNPkYckXL9D9PrHXihKjnni4Y1hhWraQqIJvrtNeqoRDyOInbhjE+cfCtupIXQwGKAcet9eY
9F83y2WQYgy9AZAMPWkXX0/Z/UJ3c8iTF+8w+fCzr6CoV2nXhdpGKIgbjMlqSD/WKm8fkM7HnU6D
BU+06UWkvIOwrxx5sbEyPtezPR4ZFiOegXicu/YmpYSMzps6O7VOeTsV9jG1/bfSpfZWx0yTC/TE
8WCMPvn0frmKVR7SUk1LrRhXTis/M+eKKgxsVyaZEeHtp4pirHTJ0E7ExRmqfaaNp2zxb1xpRGqF
dVEkYaHghFnZ5+zPezbXvdF/K9tp83jJF78EY+POl3E8KRfaQWnvGYxDLFRnvWanYvQfgpWe3+4s
8vxotZL/2rCniYgNbBWVI5ao2mqu5ma9iltWGNRDUtd0q1X6DJnnWdI5PHMXep597mKalsXw3vb6
3Fs1wqgb3PF8jmg3P9M77l0a2phYTL4QzN6biQto4HGyOwqDu4dpXHXkGuJO8kRykuVINwSUuf4M
G2VvLcVrq72HVd3jOQN21zk3hOxbfiQo90BMQD4shwzfMhcI5W7GQ0skfVc59g+t7Q+3zh7x2yMU
DCDb25gywbSEBkNZ/hlh/5ZDNXte7V/y4Z7kwLmaIJZhAwy5PGmJhuhQeGfNkoLiTXEpEyM5KhUH
QF4gUug2qiqiswpmop0elORiRgzIjPKQ6JZhj0+qEvGp8+ormVj3SUesoMmZUXnc7qe2MPedmoZd
Xbc1hUac2jW1dIwNt+2M4RC2hhPOlXNduo4VMYRco+XkZ4ocPxKgL7u84NLuRsJG4zmruVgscC6c
WNwd76I3RFGwxFn6qTDS7dm4RBXXM37r8yoV13t3Ko36CMCevvTqSIqNgKUxHVHQgLt1UF1+umKM
hBafrfRKcmDLrRioyBPmVd8vuzy7sIU6Fy4NHHGe4yzrbvgv7rV5ZzuICyOFIiJyBgNZ0jQO1jZH
l7V1yBIsbLVJ8GxpYUhWAqBklp7zPniqTOfY9ECKxqUpX7Mlpj0vfnXBTPKKcsD3MSWsmRkayrvm
19bfuA2tQMAnOfHP31bWDdfa6e2jiZR70JzdUEyMA7hkJ6JwYggdgVwK9Op1dhzU3QnIsK1KcHh6
LBEIg0JQGzX3IsBw1PBb56/DV8oKpL91lGdbd5p+SWDZYtcxKmanlM2QGRZd47z4bWzdjV/+FDF6
6kZWCz3mxQjYJq/Q95JJIU0WRRcgnMbtCUlSPfLs9Aj0NYH7bZWWf0VZJl3HyBPuPlmG4Ew9jHXT
SWtTijW+Qpy0WmD19/p9jUEj7LlxDlk9LvvSzb23KZE+lYky4PRRtn7UW6ImLUfY42MFWemgZdqy
3a2Gw77FsKb417jUzF8uTZk/Ui+Y760Nfhsquaxvmb3Id1RqsM91OZlZZJWJvoNNC4uoSbx6N/tg
y8Mp8bML7Qdhy2Hgykp4g1hy6e8aGbOvaKr6DaATfMqcOsJdYGU/ss7uf5ejlZ1ZfiyXVM6YGjxK
QMGnEClaqenZgUAEL7uxKr2uvI5XislNOT2PBVDLMgNvmWckXMoNeQlY0N8xgcPBnDiXwsSk5+9Q
+d74vm7ITHeDZxoTGM2ip27TmNbyIRi/KJtfrJllw86wbamu2g1Fw7oifreGLnv9n9nwn8+Gm3fu
n8+G9+MwVt+XvxNc/vQ78HV/jYfiD8ySwvJYbjLqoav8TXGRf1gMgQyIKComggtyyF/j4R/o7z5b
MAZB7ATWlk7+czzEt8AeBSWGIIK1qTU4If4hJvDfxga+ggH/2b3nW3jcsFTYNFPAvLb/weeYK5On
hlHQL1Zq7I4X/aVXUjeKdll86ZjlJmmy5qKnoqFUJYfSZRbfm9bJix1GDYTRTSItNrHUgBsfpWrO
fhJnREtNypgz07KdC/mRugflmOO39kuFTQW3TDgB4czYvrARGRhU250OBu+QDAi5ftpYkD1SgrFN
x+078mHc1psATLdT+TQU2RqJoKC6whN9BO55PtELlRymLyUZ0bW/GVyb1sZNaO7sFM3Z3+TnmUbW
T6s386dsE6etL526znt+mE287iDb/+42QdvdpO1xE7k3wSc0MJ1fYviyj+6XGo4tCxZRqy2T/p66
iPC2Ke8yfCnoFdtXvJdfynq8iewkoLob9HMai4pNhM82OX74UuZnZ2F5V5hDcLTGxmYX8iXhSyM3
35ZN1/dX3lvupvVPOLnfu9W1P+LYXQX8GdYCm+p6WbXhHtpuUn7EGiTem5ib7yeiFHsmANsKi69d
Q7utHYSjPVx+2zLC3dYS+bag0OVIdd22tKAimnrsQeZv7rbSgNTccCrY9hwsDsVHybvg1fragwBv
S08cYZ5E25PDXVP/lBBrIKux7U7Ag7NG6Sp427v1a72C623miNn3T61vsPWjptmA2pR/bWP4wIuf
gfZuxlT+lJbhAiBESWMPs61xiFav53rb7UjaJU9DUF/ZdHZesP/9GIEZ3lrbSsivAnFqvvZEsK9w
6G/Lo7magzdQgL+abbFE9pxy8W3ZNM6qPSXWRg3Q0sn3eoiTQ1963dVkDfnt6AfJ0TW6/jfIE4/I
XeaZFyOZ6n2hkupm8DQQwo7mzb7T02fmUi6o9LQcddnXpyAmwoW0kTz1mREcl5Sd7I7a2OTNE8Z0
Z3sGkjncnxdHO+YZhgCtaJaD6bLv8OvSOGuHlis5yeR1wl6ihofCtmzlNRYunup/t17R2wdbgrEY
zcBboQYTQNw7qCsvKX0aT1XcWglAbXc5N4FUp9w2eQkxez+q1ICiZk9aPq6qcY2LUpKsmrkq92Q5
Iu2jzrKnaBAdtQJpkCehn40UU9PxSg7f52zWQCZMI4tZDMOheTLijiVeyV+4L9KpwmwvKVmdcdIV
WtiRtTVVqxqKB0GdO+HWv8aBY5Rt1rfLmL4qAHaDbg9ySB9N+tEfeVYAD6oFpyNMmVVRvLOrhyeS
6zenJrxpjJfOrX+nGTyZMOXIjDwEWnHkfT+7KR2YYpbsbU2YDYXxmjAFEjs1imcskz3YxrKMknb9
VvXJfLYnf0909EOY420h5iQ02uXTHNPzYClOvVmxfEv8KeTGRNAhRDMs7VmseXuokqHn7aqQYHD9
HrpZ7WnXuqlWOyokpXKgSIJ38tG7Br7jKMeGfVR1HRBvIo27mNc1rt39hNuq7ksm+QXT1nam23s9
t7OXexdMCt6nE6g3lr/cArQ3Hic/rvXn7I3T/VqX3XXhpsclIOItynllcQ0ahxz8K++To+EbjOcD
7ZpcSQcy2MQJJaEjDKdIDdI4pcpvjxiu2Fat3R5bw1PeuwtOUOO0qBX+5+jeZnkccpkNOwImrxxd
yz1PnNCf8CdPEnB3NQRhPfXOjSHU9CgXJWlGM9dr/FrJKZ7o7iS3xR6IoP2hrH9TB1DvAIN80nhd
hBRXfkwi/TXiWH32kdfyMBGPdK8Xxz62nJcJUvKlrmO+J841Pxwt16c2SWBdQxl6jalYyHh+DCW2
isTbj707RoCm0TyUlbSvVb3oHotYhVts0TyE9JIuv31n8G9Rj4IbgaGEVnBOj78sDDFH0ykRUwpj
CA5FYQVsSYPepBs/bh6V7W7PID3jrtVYr4l3k72TZHqNIfIzyzsakyoucZ/Iqx7cpr7WJsahXWrM
+kEicNyttc2E0ye/ckpEQbYTin4C60fRLZokFly3vM5j6zkhebxbSqDcIi55dnSN/9AnaXVX96nx
zeYebtDrCk8jdS36vfaUPntptl66eYtuZ4lZ/RhH+ix2s5DJ48RO/D4pzOVc0h8RyrLvDprV98mv
MfIkaaCS0FkhwID07I5pOxdUQrCMLtj/aYpFWvMRiAoSgTfk19yr+gWH8uAeFwTcZ18t8moZDG5U
RUEr4PrCb3/ozvavE1L6nz79rdeEggviTMqLT+3k5gfNaeaEKYNbmLZw1p9tawboKhPgTZ+K3z3l
KphTrMLEQzJ7MwxbWWCsL6UaHuEmfVRr8tDWdX5i/+jHOLGHmg49Z9RXvircD3JR0t+p1gInFcw5
l/NaxRWvROyFIXmvdeExyrttN9SxfPaSzVdUcVCvACpcu6OSyb4wS7DbZr9QVML9Y9S7xPLLB1v1
kJSMLmGio+IHvbWRc3I3Mjrj0JfKP6z04B97ouIPXd0kJ/zoklAdZ/Sw8NbgsQyMog4pzt+6aWuF
et31uX1syBPeU7ZGmN1b+wNGZP0wuxRsVlKn/m7JWqg3RR10H6T7+sP/HOT/m4P8f7vkef0+tv/+
v9V/XfNsC8g/z/GgYSwWOIItz1fv6n9OK9l/QL4G3sWbFiKUsyVT/jzH8ye+uf1P0PDqe5QH/e0c
j6GZWlAKW10SfTRve//SOd43/3HPQ1AKHwoNfQLTkGlvYMS/q+1i0sYAq3g21a7+ABgCBbt2mxj2
LqQV+QVdGdis/LabeUNgO2v8SLuAdcUby32YibVeiDxYl4UlRMSCZj5MXT+f5BfxBeNA/VJaWbbs
3GxxDv1kpldYZtArAxTZWqbcpKYH/1qWwbHrssfU0cNuHBYTA1ie7etkgCFllNciS8awXq3zuuqz
zinoZDV0o4Gi7eg/tw8I0foFmIZxHDENtjvPYkpADhl3RA0ZPcyxiKCk6bBxZ/dIRsOIbGuklQNU
8LmBXhNVaTkh/7LYQSnGrEWNAwYvs7btNxZ5xW1vriiWQYanULv73EgunZecoDo/YSa/y+n6ye3u
VSe5juzazA9lrufLHDjgmjmSYpzg3bN0d5NDW+VqUm3SI29tC4x9MPlFOBe+PiK4/yLwQCCFlHBE
qX0Vljl9E2WgfrKGpzklRnqwvJaD/zoY9/NSWwiPvG5xv9S81ow11I0l91m+zKHtm0RlKp3t1Sz6
u7nwkI7XEiXIzzRdHEruqtp3LsvaJPtK0TaR5OPWBtsOJa5bIjwctNNrUCr0CsiINcs+XbvQgW/Y
1wcVk5Tohz3e9OMky9u8+h576SfwXo6RXTRSZfuEJdNlv1YjxZWqijlZB9X1MsX5UZY0K+0oZ+1/
+jb4Xy2KjYM3faTlau2qAUAmZkUr2TlxOQAQ6FqBqGlQrqPG9Iccc0qqSgzO9MbC2o5SCwE9Jfgp
96zrkhsotcm6t0uzm19dIoP+00T3BoZq9vMW79khM17Qbsww68b1kR8bPzOFh6dg4ojfW4YKC3A3
D6JcPLyxQf/mWZWJ2RDkJvQSE7tm7SbBgwiAyztxbH4Pgrz9DZGBxvC2b1FqO9m159abhjNcButV
+kv3DjuI5Q/2vmOlIZ7tVGnAwkkyp9/ZnfSoM9NgB2jhuIJIEQOxiOOZzYzqHgN6gq4bqWhrAgOW
HQpBm1HPNPeYdd0QFY10X2ahrRc0NWUdITNhFXIEJluR5sGhSrMR76ZBxWCxLsOz3wbyqquVvFs6
o3unuNc8uGxyvuNmjB9Sx7avenfg1nOaYg3rNPFuONcPx3oJeJkbg8IGa/Z4w/PRf4bq478sKFf7
Jq4YxFgeUMK0kt7JC3y8RjOsT1RcESs2KVj3mkXymTravwU9FUe4jFESLcPirZ+vfJdau8epMogi
keRGLGc0DD3X57VKQ6mgan2aIo/VKdtHlFwSR7TQXKX+YGIWzKfiullX0r9FQZ8+uExWOGsgxEyU
0aNOPjFtjkVmTC7eG9EiBysGBDXAy+uIOe06O+tfET8V/bVrzlRAf23MJLNy07dW/Yzbc8RKLcc+
C+04n7FCjTH3+tJ28TOM+13fCWad1HyKl37vm3RkEnMM2LiZaUL/qymH0JINj7ja0/1pJfP3BDzj
hyGz8iWoEhnm5vdKywhLfbIvpT2B2vTOY3oPEcOBDV48Jd09PvMwKM8Zd3wFU+RogA/5KGyZMngi
AIV+I7xLwooe0gZE0Vsd9+JMP7VJ+IwtnrmLqWDrdrKO51ODQs2jqOKYXffapzaYJZRaGEKYIeSv
GHf4He5aTMqznm6KAe9ISZTAL++G1H4zRTKcYXp82NPQ/urhEVIuf+0u4GwN6hRKUGRn32pO84Qj
b7WH3QKeTwzrD+zIaVhmAS2RfktBccwv1WZ9dfFkhSANgX2Qi96PPlFH3TCJdI5SL1tb9Kteeb1w
HjYPiqfX0dQVR/mB0zKADraoYAwOanZp5hFbiH51R4qPO+bO+WGWzZuN2tDqQBxjM+6OUKjai927
/WkLHUSdrfRPXKDNe2U2111AViCr55OlWH8ONaT5/kTBuXGjjdGKpsQR6FBps+3HypPS8UX4ef+8
1t14FLxIIqnpq8gD8DSjwYquSqV18LHJ8gigQ6EeHSjpVuHvEKFRZcvAOnhlbu1jwNR3WZ9ZO7T9
6pR1bXtoUt2yCq1xTxDxO1YOOwVo5l1IBW1169sII8aYJbeUyJBb6dY4nNJZR2W56g/bGcYoDkR5
cNkmhcs4UesVN7wqRDqpY8qDf0c1wfzQmlPUzJn76jXG8uD1pC6WUGKIvUwzNB247Hloijnfq8lW
N6z9+9BqbebWlfGuD5yfsrpvpWPvRx6BO9L0tBPEpSbOaYyRl6TqThe1G44YY46E8XnPSutZqGEn
sTZC2cn6C9NV8UZ+QP5m5WruzcY1R0auvGKgpKic5HNhdRT+mQ7Hc0tAeATOac8vWq1jijVXrUMo
tPPLYn0ce172LGiMS9rvC93Me4hKLafwprOuG87vw8ECRsWm3PKWM23kzUOasvtYWXYJc2r9nUtO
4z3I3OkGAya+h8DGrODtK8AVq5Q8t3WyzwbXxNlr+OE6CnqNyauzz+ZjNl22apCm3FvL8ZcDC8mA
xCKjktncCNK5YytrxJy1hspbTchbVYjp+lmT4+Hsssed+sozEwT8WCaHrKwJt45Dd/ByWOnL3Inb
YjSGq7ZDdUudrD6scjUO4J/9J55B+Q2voltjs80xiE/eD2o32kdVOogz60iNh8I/QMIqUVdgYprI
BV1x6ISbXSdN0T/g2V92LXUcDwUgt08xsrqmluit6RT7D88wi2uYQtsntKbZfbXq5pudsqFNsMPS
C044dgrjoBMKLPEWIcIe0J71FitabAJG8SpyDP/FBFlVmvesGI/t/2HvPHojx9Ks/Vcas2eB3gDf
bCIYDKdQRMhLG0JSSvTm0pO/fp6rmZpC9XQ1vt73ohKoqlSmDHnva855TudGuLHa/M7yxnYNEQ2B
njkSkWNI61KvCsw5P34mw2vyt0qanKIooZmWxqc+jJvrlMZ8vzFEMRw0jxzOy0bQBd8K9uMbguC0
i8biGd0HlipjKN5mICrBJP1WKqLsO33QYy6fOg8/wQUoMpOoOSw62gjcsGlzZqblXCzp5sJxp+1w
rfQfsTCWAKr/G4hBrF8pz/0ulX4wtQWoEU6W2GWK526Qfri75r8tZD92Ms57OGku+cYzsm0/N6r+
2kgHWlWY5o0TKuSlVFY6HwYXH9IqnTzMa5P0sWXYCTGPS3ebDtFyWU0lb2VruO4WNxp5IKM0x8mY
W9/z8mqnSutcFVUNr2JnsSoc0uHaS5PdIO12VH7Fr1Ra8AwF6gsFioK838Bd9ePVI05Qv2ulgU8b
mviQE2p3djObiblMcGN2qGBxzVmXQqCrj2Zakf4WIpu5UfBP66QXlNVN1gDDtJMU0I4Mj7M83sSJ
Nj5AGMXhLoPmvKwfnvHOgiIfa50AajNpT6ZKOJ3hlfGDbBiw7hjzHoFzdCaFGRXS1BfOxZYhd66M
u2Mikm5DHGc3DPeSY91k2skSWvYR/mTlMcwfGOnqbAKt5tH7ydMbQ4VQF9awDjttAvfKn+w9FDrk
8Nn42vda3cX70psbcvpcIvsKGd6H6Tu6lEsBq1D8pPuVVCXbUJQwiFRD5v9VbZ3a5IONZ2c03pgk
1E/2WJlbj5/CVcfPjva+t45aBYFI82KmJaVlP6habxbAz0gcVKC+PFQGKYRRTx6hIA5BLq7heiUo
s1TuDL5vP9GFJgDOt8HR9ZMLxvE0m07OHZ06Ly7K7nWqMJFcdTIOETW7Sf0w8lNKGZKrq9LQ5ntd
hihOmPHeVQIa90R4odxCQ9up0Bha7ZmMdCKQRnvpiBaX4YxKX/cH1g7prS6jG2O7ZgSHLpxYm9xR
oMr1P3GPcRd2O/CU2A0hnHJZRxTM05RbRwLS6GnI8iM1cpx6a6OUffWCVwxrUSMDJvUI3S7DzKHq
Vy2f+itjPjxYsCBv1dRZzuPYmRcp3+WVZgxKigW5lvHQgwwKaV4vmI6ojMRPAqaKwMjQYu1eS+ZS
8RWZlmlH5GYyylavNpqcIIrm+KAjjfM2JZGDdwDtMGQlhiLOVd2q38JzxLUxHPIUOpI6TUtMiNLm
ObrvfqI8w1LEG13mezKvzqZ1y875tdEznm5yuu4WJ4uecVq41GhTdufWI/rceS4cEkQAyTK/ldGi
5U/KqJYm9dVKEuLQk5HnR8aRGplMJk0Y2iJrIa7UwhLhkw/Kd8saZZ4pn/q8GzJCTlUZd1oYMyHp
mgxBnfNxePn38OefDH9Ynv71Fnfbvw/Je/P1D6Y/fNwf0x/mNLrJNpMFqcOy9o8trvGbLSODiQYG
EgN37Q9Wjf6bpxuAQ7iTPNtiNPPHFlflgyShhc0v61/TBGryr2xxnR8V75+3uHBqIFBrFCGSlPJ3
W9yhbQoX5iY0QcrWu0JA3ffNMcws1Y8ioA0rPZ0Ln61Y9QYMIrlEP9d+AjP5BlEZxUA+obG1KA/U
fO4QzlEzpDElbqQPDS8OFUXORwdQ26oNQ9b22MjKA0CTse5+yhHGJPUdIFWbk1qWK1Yz+uCcccPH
2amX9YwqKxsPZm8gZLWTy7pnkRWQSApvN8mqSDARwjtCpQRcw3lLKZ7mrts2A+Q1iipbAlN4+Rhy
U2/Bpq22Y1beLir+P5uAXl1WaDbmgltNVm2prN8YCVn+LGs6Iau7WNZ5saz4uijawCFm19kgypvX
c5G81iiATky0nJdlKYS7mvSyWOm9t7ZlWRnKAnMiHZeTj/FwFwAa0ZDNulSjmJL0IA4R+ev06tyL
17pTME0vfldX9yCbCY8bf4pbL0/nR3TJlLx5NzjRuvophR1Nz6bNbOqUyPisQIJGsnJeWAZ/x7Ka
jpKmObiywnYUSm1KbrKBxUpn6EU8MvU444f2HOs5+GNZrQ9hYR0GWcFXspYf9b0mwm9d1vgTiswV
Q2nGZkPUnTTZC0yyK+D2ZXKda96hDltf9s79WtBNkHE8XSGIQeUsjHaryKYDCsdM9oxsRQAw5IFu
LKxhZKNSxcawEbJ5ESZEmlA2NJ5sbRbZ5OBzIjpZNj7gtdm+yGaIMw/aNv7OYJCt0qyj3oLzqpy5
okjk81I9KGRz1UwVFmvZcGlhxT3dMNbPZTsWKmDxEtmiwTmG1inbtqEjtVCXrVwq8q1QX1Fj5Dsc
g1UwyZ6vl92fLLdPw2QekdHIvQ5tYhYR6pjeTrpdgZlxh1+j7Cm5EdsdIu76QEYLMXuGJYKoFOss
6fjH5WYflYtotI2IgcYp0r+d1QpeFtnICtnSdrK51WSb6y49YdOy9SV3cdrFsh1OJqt97GWLDDG1
WPeybW5UjVqgCwPYj9lByOaaOhLbi2y4c9l648b6mOjFZ3ryUTbnHl06sFBvT4wwmika+GmxnsPE
q2GIYnYLq25fa8vzPC1b5mmbYhxvUJWNJ0sOB0ilsc+FHBh0cnSQyCFCKhz3Do8MwuhIrkYQd027
wm5S5nyTRiAQx9LV9WbiObnLIKiWy1YkDYG+KKN2vSjNY1/O+jlura+KSN99kypfdRL3tO7wZ5jH
eDsreVVo8Vm7wJfOBgSM0Vhor11v5ye0CGzQolFntW86G4GE9Emg/tjbnVteNIzV0UqM2vAqFl08
J1BX91UjQ6UJdjlk+uLda3YozoUYkJfYwqp2ep3O5y4yvKDJKK/mJi7uWjY5vqBuYpq14OAnn3Vn
dm5Mn5113pNQVfTdk5lupY58lzMGfBqEs2KivtaH8nOpnUkustJbtelGgidj/XGGxl76hl1CNcqo
/9Ssbdcuu91+rdlasq1LU5E85nTvLkmxLZocUlE53QCecC8VNMydJH5c41RHcxaBBFxrg+atQ2Dx
a6tSkyBuU/FZl6l5N7akWA80kbFfVrbxTNai1ZJC5gW1cRPN1Cp2ecoX/UNt6vkcu2l/zDy1eZni
POR5bsPPcZyqU2aaImA+Oj1jIIuDUA530eDl47jKQqAIYYlqaVWKqZtW1YgcxgG6cwPgLSWjCGlD
ljF/KdpjN1jRr/gnV8Bws3If4pc+DYZML3LV4UBPPvtZMaV7xyKoIJuILFhkeEFM9meQ1TLRQFsk
Rb2tlSfdzkw+5Si11nrjZX7UiMjBWggkk71byRLSSpFblBKem2BuPiQSqAtpEf01ij1UInUYu491
wtVDTwuOl2gHBzY5sofIAdZLmrp1EBTmxLZKmO+4DO1NIgG/IrQwcKOMPmSuxTuvREy9EHEfotlt
Dp7EBOOB0R+ERAePtqQIh3Sp0O7tu15LvVeIoPjMlcyC+2hxnhuc23H3y51UhUPT1IyVqwkHpLem
BT2LyV81Q/RbkGLxTtUEGO9uUdCtWsYO0wvO/7ruMyLjof4r2aDeKgXjF/K7kDsTRVDeQ3tqTpgC
yMstWTpaa95DpJPDMIOuKrzii/ShbOdNgpg2LLzGm5Ua+q5xcXrAmtLn55zsWsHBCENUK8jWIvBL
8tdzYKkOx95umKLymEPZuuVSHM94OkWKhpunFzJ+RTh5HqI7iT0aj8SwBQEyVce4Pcuy+WpMXnKF
y6+cqDAEF5Ll2heTz/BpVByk1y158x6q+Q3RdN3G7prpudLs6jukO3kdq9R+mtUIS7HG4MDX9DK5
drMFby6quCHBXkPtdAbT3TfLoO91gFbHOdG6namb1j3JqOxDUpRV916iGXvGWc1G7bLobI+DcS5V
jzH7MHlbsk1bjtaGh3OtT71su7q6+Zg55cFILG2ESoyyI7AFtC8/TMNiV3djQqRba58x2BjHsOmz
T4CtzTp0wuKpR9J16zW1yecwzBsrtPOtgzDTd9OOv9MjWZUKg+S6nW0Nzr5IenPXqjO+g74BzaAN
s/es5J67p27Rf5llZr0LW6mAlrswLB0m2vvcTOuNF+uWhIQZNoTWQoT7YaytY6tO4pgBuZe6AKYB
ttl2t1HlmU9Z2zXnXpEIXgWD4Q5ZaXLnCde5yQocC5u2Kgh0h7kSGIj790BNeYQdslaZMTaWsotm
Xlo9NZdLTBnBzgEEt4Mge7b6foN53X4Mtdr0q9kznhy1D7qiLIm1gMQfFeF7HqJA8fIu2Y/F1MEV
HYtN7fIlrVLd4rAZPPOFZN3mBov1/O6CONVW2Wy0YMKieN5Fta7sdbBygfA0cY5qRQcaoee3Hnu1
eyTk7YFyvf/kkl58UY8EvlHhwSWJK4oAc77nrLpxlSkIk3Le8Uan17IsmmcN6UdAHLAcOOujujOL
SeVuidP7qqoYJ5p9Ou8TJn9+C8riBswbMxxnIjGXBefMArDxkgdPMJ5cwaib7qLOCz/DMUx+jVUy
PSd9G+HjAdyzCOZ4XWAvSZ8/pFwJyXMq8SSLBJW0P8ySFHqJDsVkNCXPpLYk2wS3BJwTxPXxWyHh
J3ZrLNdJAlEomT9TFUSK9QNLkdgUXigIKmrEAqOXWJXxh7CiRMBW5Ijsjl1Mee4jC8vLD5WF7NvH
zNIO6ODOKVLii2Nbj0jTcbLNo372Jn701g/pxZTQF8VB8i4kCGbIs5HH2VACgL3ISzyJjCnNmp2e
J0EyTeJql0XCZbw+pReQwJlcnvHTYk7rUeJowrpe2KK48wlDj3ceJbam6Kz5DknozE0O1MZiVCgn
w5G6baosXw+Fpq9dCcLJJRLHlHAc8pvzy9i29aZSLeNO0SoeWl0CdTKJ1tElZEeXuB1NgndI/ihv
YwnjSWi3j2LkcHHB4d41lTP/IvU8vJQS5FOgXD32Eu7DsJo4QAn8SST6B1NGc2dLHJAuwUAGQ9G7
XsKC4COOz/EPQcj9oQmhK4AsJH4oQ7MEDqkOyzgMwWCIkh8iEYgT6ERV7iHOY6FDxQe8yJAYI+Rf
5BObEm6EZgjOUS+RR63aOHedITlIMV/wNvmhI0XCiYNZIpPkaOXDlBil0uzFI6wc+9Oxwva+ylRv
Y7Vd96IshffcobZfuRLPROC6d5GlrkclXmfvdFX9xeonqCJx1N+hr+reywib1yLRTwNMphXUQnBQ
VKNfpLoUG0sntAZbyfIUpotH5EGb7WIJluLtI+G5XJbA6ssan4XCoyNJVP+ea/z1XMNkCPHXc437
/vMfDTXkB/0uTTd/w3isoT+RCDzyhhlP/O5clunEhgZIV7UcW2OG8b+SFhz/jBhMObrQGWmY6h/O
Zfc3BC0gUJiF6Aw1MGH8KzMNpiH/x7lMHYaTS3OYnzhwLP6saBGTgzbVJo23GHGQlgIzZKaRDFMk
47xeFGNZF0VdBbhfWZ81pCa1Wj+jWY1aANfjGX+Lh6+Pnt8ykqdwdqjni28N2tkae1XqQwEHAhci
UqTh/e5gVaxqKOQ+o1ICTDwv26vMBvfhWDGNx+p6XzJ3RmOrKOvew4nFW5BDAzExP9U33fiiQh5h
Y7k8Q6bU1nn8ywApMw+sR1P1ogjkknXeIS83eDFsv6qUZqOP1ZPIihxVr5YEVojUujKtDXeXz3Rk
43RXbzDFrje7Jy4ZzEqj5e2WGvTfymR3uQLM8Na6rW96L3OubZMyuqHWizdu+qWOBMgWQ7wdcyJI
UhHEYyD66krkUulqBwWhBCmpH2Yajj6+FdLBLQ/7Xl4cEus2nLjAVDgKbPiFt7jH1sGgFgKHLZoE
wj0B8XYq6caMYrSYe8GtO1RtHtlQmbuhxrgYbseXUCX7GKUxLTprFCTlJ5zTR0Pg+YIeH+/Ah9S7
bGQgw1gjDkQ1vERdO+7N2HnIC0lGKuDM8izyi860xm4XKVzaytCpMG1swGfzdcS9vuIWe27K8Rxy
i7OeiA2fIKCT2WXvaa0k636CTlrzSw9fN0NrwPH3bKIFsrpnFAabVBHWdunsbF/YXXSLGkLx8QoY
u3BggYNBoFw3s4m8PSMZqWgjX+/PfXUDpxHpB/ULQdHftf6BI+CtQoedDw2qUxaZ30NJhHMGRddP
ycUJ9EKz1qb47oAvLczhZCu1isYI0bS3SawLDinKW5deYORHHHt5/WXGyQouf0uXwwA+7iGyZSQY
xu53VmmCz43fqFTtsFOGuPfjyph9Z8zv8II+OtnJSHfR0uzKtHwhFXtVJcq56S6em6yjOrOOIxMn
/Nbtus5YqzCkvK8wWM5a4LQE52Sux7BmvMU+fKd2CK/Rn9P+T/NhNiZMqsudBXrZVWLWjhjaixzA
6pIzRIJHxT6vuyMRkaTd8cCa+TmX5KQ2SdH1zMmbpoQfMJfQE8MK6LrcZUalB6nyWlLUWpWD7xBl
WGqp3ORGdLFSYuPUdn60tHAv90dMYMbVoA6/aGJWjC8l4Pgzqo0cDz0xOzBpyEHTspF3rt/WaPMt
nKLbpeXHn4ezsrZQNUOgY6GY6UQSLShlVqo6KatwgUeAFHXZuUwXfAy6NUNCojZTvFTkBcfXJR7P
BvoUau0RMh4jntWYOuiFrc2YIazTxwNpTs90fvk6YbZEKvmyqUe+nxWRcgBn7fpmiPpwT85wias6
XrdxvV4ET3t/qbR8r8z5tRqIIu+m7LBM7kZo6LLLcdrYC7IpbKEFY5+grE04iziJAw2LxgqQ6LZr
7I/Icq+6nuxICQyaxTm3+njjOoLcprpFC4JPPwH611BDbjLmnMhnkMjxNzDsCUNYYUSv7dtmuCWV
6kZpi9usjJ4axiA7StYDUjG532+v8UCcgR2Tp0ymT7MCtluscLne2En+PiahunH0RfWx0+wRQAKG
y3mkhvJWMRfUIc2lGQ2OTG856KNSbmJapjUjYEQfmvCnuTvqBDAzgFow7KCIxvoMEzWHr2mp1a8B
SgHfReH5czG/c5ozoTSUhtC0/KKaSOEXAqVULw/SYnyx2+RV1Di0XQse1OSJN1qFGQcyuGw4j/zo
urgO8qi/oEGyP1LRwzeYKm2lm9O8nbT4AfugP7kkGzV9ujfIothlU3aPWPdA+tZtn3cvnsIw3EL+
x6jwKW+ZChJMQb5Pf03D+liK4Zw4cbULVfMRZkSIonkhosCJ+41OpFfeOscp58mLjeStr1ixukQi
dpb1ZDbmZxLaD7DGc1pX7V5VqidG2oKDu95olSCkPUz32aJehyTlwMzeBpSQK2Zjcrev9axWzYNl
V2FQdjLMSRl2jKrjjZlU1wK0XFZ42zHV1lOqbkfD3k5RtsPbQgWHmMqY2geeGNDxCtAG9F0W+Gts
TcfFKfe1qT5bU/PhJJ22DvXkSamggNfeEq+1Iv/Q1RZT7nDLstLxixB/ho7S0o1RfZWF+UiWdMC8
KkS0mO+EkhwWG1jWzIC73HWhdk0n03pvszFk/mg+Mjp6lT5uYG0egW4fpjHt7Fz9VoEl+GgwD2Io
QuKZcm2ttZD9pE2nwTlfj+SIN7RO6B99Tjy0O6gzHc6WIXsLR9M3KwQHaJXW1PhIKbX5MZk1JVAL
D6BiNoPoZOm3EdwWbNONIAZUseKwcPwMuVBnurhUtBKkNFj2DgXGymPqDS2v0/Z4aLln9QMcPq6a
SZjZLepTBnZGWwH7LpSLC/684pFSp820VPynLvSzPHwQMdoHo/tSp3pagd/Ymn2R3QPjC/dzj18J
dGS1jztz2umupW3dMgv9th7FttL4ivjkekzm5A84pKOv0Vm8jAazZAWgBLGh+jYquMaHiqOVrCDX
Lxwc9lrtuT7vydURlbppPXrqgmjHuUSOPlvdPiHFEn+RwiIjqdM7tUcpadQtHa9jvYcFkzTAONdx
Wsjr1ozYV3KFq0Okv1ybYbge9hEHWz0e2yrL/MGL7VNjycxOFR6aiNPl6CiWdwGbWO6meoFlxsSW
0Xk7+4YLUMGe6zAgwD25S3AnEZYSROi0CDLUb7EZbpbZ8D7I5wxQl55UZKoLUxroiLAKErB7OYGR
laXfmiRvn9rFaAK85QrpRPWpHZBFIlO4ZGiq8Y5zFhJjEG9pwyefvtJnzUPMmJ18pI3Ce936g3HT
cmTow3CFC4Xci5y+WqNcMYhXIfDRx5DBfYUceQW3ZWuPb9aQn1Ob7wn8DfAsX7mavjMFupQeCzJn
to/yym3IOmHEVq6hnbyNZQFiR5SHZV70FWPDEj5HdGAQ32/RVSE/Sn5FWJ084bPOh2Kelb90ZTBW
td2fNa/Ylml40e0UxZuNoSxuXL8hnZHgxRatKiagpNFuw4wSxEvn7RxV9haAQ9CO9KSGUDaqG34g
udmUmWufuQKpdhpcDqkFA3BQLzE7lY1qI3rOu+ku1MdPiLavbjSyf2uuOCdhp0qzUuVuInU5hUZt
BGzuSTbsX41a3BmVeY3D7L6OQcs6RMXFDSqSMO6LPVZnlt/ufO6LIujm9IYO/kkfE7rs0kcffmoL
+9hqC/oa84W9Urkai/YGNaHrR0wVHNpL8hZA5S7N2WpQHevZRYxhHhTtcGFXBcx3FKeYa3PjVuFF
JNFjL3jKWPlwFwxwfPI6jV6jSjduDDJJCfbYizk8klPAksKJlQ1Qna0AecAYvH6Dp7uZ2CttpKkc
X6x17vDdAQf/CpfllSQmY+OJEWOdrYCa9IzEjxSsRJNh7dt8ONvhIuP2UK1AJ426+Akd/S6CEetP
XrGDoEd/4t5qQ7uVXQMDnP4JfSw3YJwlzHToc5JqBtetgQnSdcbv5C6tywQOpT0Kn+UBhbIB0bRT
9MZnKEtvU1L+hqAzRHZqnJ5xR+1cYM1+mx0tBYCzdmjorabeYQuEAq2Zn4niggmjV+k+r8Qu6omM
ALWCEs0bg1wDDjj2FO1ToCr9jdmwuSoKYRMULJyd7unt2qufJgTKCPvhFzhe9m7bDYCM6na0Qyl5
91srp0h5Y+ZwIoBrxS4HS1psNxya1TO247usPNvMCuZSvbYt1RNFAKXiVF5Ge/KN/F719IAX6rsR
SJy7k6sLfZX0lm9FVy19zoZnT49AxXTxDSzeo1Ubr05JDxbzvHr13ewtZ8VGzZ51jzH8cj9BVO+X
pID5YHM+2ix8NDT1iomHRWYPohhhTCyDHpehCRhioDvkdKM1irZObHy68BPh2WI0GpIv7gb2E6V3
yCp+WFEGRmrJwSdGubhES3ruJ8ZjkDHaNVC47AgioVvpFARB5I3ZujaswIjwD4AZBpXVWAGXJ+Ik
gR5katrjnDoB+9Bftjhg/AVAqxtHN4Tjmvepsa5zvUQCPT7lbt6fhG6C4kHQ5aXGbdrRvmq6sVPq
tAuqlGZYjBEnsUHL2sfbxh5vDB7UtWsP867vE2PriHhY40CNgXrpt6zT42scLTduR4454FsMlV7I
M2zlO32pr50jE4ATqOjladDJW+MMr0zvkjeOvnL0+BziAQ/AW7WvPUWWRF5w0+EIg3gwpHezVoCT
uDUcRqiz9aCkhMuNFcB3wp6ZkIvye7Jz7cuqRnZSEwpFpMgJmYokrQ0mndCsxxssWarfUFkemt64
OiNhPUgmvrTBw5Q44BLDCx7e1xOPMwsta9do1gkhxz7tLmvGkbx/pSZNzOEBh/c5YmG+rkOcL+bE
rKAqiLY09Fti9tLLYlG0NuzIh+iXPAuMhHYmGbLtsJCh7fTFmu8WoBN7g2xV24aNN66iouDKSW+N
SDlU2ry3xas9xjd64xxzD0Xq0KAStpW1qntB34YsT4qF+DDtQs+S+TLMk0AfRV+1Jtum1CweHZM5
w78+SDsln03VVt/d/5OJFp9VPTcwTbof1sAf/3Yevpqub77+dnqv27+xo/r13iVV+fcf86c/Aj7B
/4Rk+O/d+5/+ZfMT9H7tvwDJfrVUz7+jDeTv/P/9n/+TP/Ew11//+R/vv4qk/OshmnRk/fUQbf3e
vpf/UBwkP+4PcZCreYxnrT/Imb/P0Qyi5AmpUh1mbHKY9cccTYZWSBAnFjA8uR6erf+1hpm/UbzJ
IAk+yoD7qRn/yhyNTJO/m6NRRKhwgFRdkiiYHf2dNijpGWrXiwVLutM+BTf9xTOb5kIvbUmsdYsD
h82m/WrPicnwOElv8OebRxR84luJoGP77qCSJKtPinPBPaIel7RsA7Mw3ZMyoKegjFoYeBCopu0K
My4WMHjdjZPHHXybyN1okWcDjZkS6DYsj+BskXFDRU0gw31uIhC0imR4jFoSnrZT3GLAUmiOecUG
0P1l1oXbWR3IkWfmVSEfZ8MBa7/zbjN0QThJi95jUcbLk65LIls4NyZTXZPTZHL0tIv9MC9Q8gM3
nir080naP5lZalLeO+n3FOv8HU613DoT/g+1sKd6UysMaPwS31cjOWsWraTtvNhdXMGyYIpECOAF
A/pjzidE20yvEJS2MtqrLjZSsbbmyjqx19U2wzDobdAaYz3sZ56eeNNhYE9fu9IpcLL8BNySLUUt
lNhefbIzTd/xheQXeOHLp2nkw5uRx2EFFwdFRzIMZXVI26x9WKK2/aosHAYsymXYbpJSTGWRDowL
2QNwtTaz7Q+tYN7Ol5Al7R3uAeelG+vyHt+r+TA2nsNun8gG4FUGib8cM13yWCkJvAbLIlgjF+3z
tHgRRuwx6ViD1z1DldShCmHiar/n8IJ3JbHL0AUmlULBnUEYDeO8vMWmku1CHF+HONIc+uiiOWXO
ACJ4EkQzNYZm/2Ii6r5SFKOzLWZUJma3+E473EDdojSipMBSYgwuPVOOPM1ExXUPeLu7FjnfD0zy
iCosQaRQZ6pPJouZLRs38Uz6ssNlpJTFYxjBesYHbR7qqhvWqimWhzgRGQh1fVF2BpEZcn5rOb6z
jAWQ/1Shn4ARfzPVuWYTsmzxaJiyddFQjiRwAzYs0ZHch2SHaAfNQwSVGLWzrdjnX1Cu2FeoSk1Q
5jG9q8fWnEqzn0qUQRldJ0jb5yaGAjiNSLytblN5wsIGl1dpYBhOuJXr5X2nFi12rMo+pdGAFqkY
BQ8QUcfaKLFVli7ErUF21MdEUzps0nnhrs6a+QpLMTFhaWnxS8x1vxVYXm4wq3V3dV+xtiYYzoIZ
VtrgKbVoDJZWx7RcTv0mjtzMWQ0swU5Z1NX+oNbWHoQajDG0cRV7Wja8RuQUG0PoRWCi/N7aQBFZ
m2FI0RBwHfoaWiLLPuPiUagE6WwR9uhOnvUVz8BqR/aRCPeW9hNfx7LxiHe50XgSvV5/0snLXmtC
z9ntYjUA36L3QWYuAN4ciuDEYp4KxoRAtXBtF1oe4OX7heEhXytq3UgyxW6QnJ7CaY82a/x73ITi
A9VVfmlU8BaNU9+WKafjyhVxbXHAmMO0rvqMd4dATRJAmt4B8ZV1JFcF1qIsJnEYxgg83/Dq4m5q
wuyuAnh/jxBnPiZNZ54bEtfbYdJ0H/oHb1jSRtYJSMKEFQrpC84YwqIjDN+hH43WE9rm+mbRVOUS
u4o4DpCJH2rd4RZk5b9xKku8JzDJ0W07LmvppDmR0jly3pkUJeiVyfTRQI65pSGrIqXGqe5xtnmE
tu1wmzpIYEjs8FPIXmINtA9fvFGED1FvVHeGcAFdVl6P3XNy3zXIIWumXBg1J7EuZ+sxTb7cbgpv
u7GZniIW7yH6KAaiq7qK4oCAmLljbpy7N8IBkKo1YhfGhX2jD7GSU7xo7PB7p5xvoWA0KEwtVSNj
LSZVYa33Rg86li4dBl9I6VyN8UGzu/IDy0bt57puMarTBTxkxj52R6dqWywyrOgt6pb2a9I6T4Fm
0TsnvfBiDE9TisQnHR/q1DXvaLxCPitKSRmY2npb1scRoTpdFa11LIjtdjFQcqk04N+Foyoo9Ji6
bfMpjnUsHsLEVKeaqYxHcKnglqAzlKepO8eCjTH71IJRdEI7+9WBhrzGGgMvEvPsuxSTHc5+5OxH
Kvrui04S52PRZC10lpmJir2wP9trrdt3+3I2hzeN2w6tJz//QusKEpz0KkDytRxhmJ7n1nrC3/8Y
Z+5FKNllTIR7GONmG+f2rRN9R7Xzsmh8ZTOhw8cRhWy7clwe21GNPkKPIDpUea9s+ZCdNukIR9dT
3lLRhJtczSJkoGL495r1n1SI1j9ds968/w0FeZo07/9XQC4/8vddqybxAVR7KlQRAk2lO/+PGtG2
+a8uClhd/28m++8YMP03/ocJIszVqANtnT+wrfou/s//YA1rQM1jek4ApWP9KwWi9g+46+DlZaK3
qYMvkESxP6EDor6RqlI39OkkjjNumAmeoahiH3FqgleOeBh104Ve+qbDrjpmhSk+I0gxnV8r3JW+
NRn6N0oP+sipqbxyAwQKbBEL0eGmJ83aY7qLFtkamfzSQGO2ptXp3KOS1njaNc7rhrKu9jj8o6xD
nZAb6TcKocYOYlRxmyohsTfITSW8qENYsbTQ5uKJurrXLsmcKhnEmXlsxDdD3K7d5NYYKQHRmQam
llIr1IPG0V1s0gQM8podG17iRGmAubSOsJJgILew9UNHIXNMYyM1r3qUlAA5dXvpUbpivnycCzCr
1ey6fZCAUsMxx3eIA9sViFeRfD67BH2HPrmlnbkuoqHQA4tzXVs7NvlHa/I+/cHsps8k7qYtYynp
9ZbSs1WLqvclThADkvA9zS+2vYyHIjfo1xUCcCq8SJr6rXfq+IILm2s0zYWKCn5MJ7TtyPWSK8Pk
hQiTvFQRTefa7K2g/wF0040o/nSiwf2amM5OaOaknHtIMzgrIJjbwygiNhUKEjPMnIrN+dUhPanX
BWv/17muxVeXuLAjmWUsKtlAmIQw57D13FQQLdUDBB57OhRsEBklelGurAsm1Qy+2jC7/Bd555Wk
ypal6ancARRmgCMfayuXOFrFC4YIpKM1M+px9MT6W5zsqsy0qjSr57rciBMoF3svLf4FSCYlc94T
bFkMKOKP5sW0uRwtvpPzK7lSBfScXd4YSPGjKOhF+8+hkhwZ6faxaI9Jo7L3VuUkY+gNqVFw/7OE
fvX6mQk5RQK3BfrGNcDDtYuhROiOngdodUCgpDR65A+MFsINosaQWfXMDn3KGNHHd6To9Sb4K7X8
bUJW9L5isPd1Vz9dbOlcuZGFW6+fy8/++P55X3bMy4ElicJOKqvqaJdVMtoAPt7r91B/3JhvIqjE
WEoAFHsUUJ4ZEECHGiViZNnV6QL2KnicVKprMCsBaj3fyhWQSd/lyt1k+cJrdq5tN8H/3G3/3zAP
oyDuLPUn/8p1//fLnGj75v/+n2y6Ov61+P2rOz389e+HxQWkl3/7q3U5PjaL38N8M/3rLW/dpn9p
QgzZ5h9nVv/nmf4myGsyfxqkRCAYQfAuIpf/Q5DzFtNtKuXK3974OzhHD2FdQvx7grVI9wuVLP9f
jiPi6QwpU/1S9oqlav5/VDMjU7j/YYIGJ6+VyxWgaHCh8gDS/KMkB17p9KGHYO0G1N6ps+p1Oi3/
oLaqe9B/iI1Yz+r32PrTW/TX4U4b7OZwu6JxmI/5r08GWs7fI86sqZ/xtms5GXXwycsAWqdAMVGU
xqieO6qnHr314/vyR3VaPcLk+qhzej5s/RLE4jHL28xQrWOob9NkCXlWUGv+WuuNzem1OWsvRnfb
rVnZo6ZhXZ/12q14zrxtfQgPoXz3ZfJ6xkAOs1FAAdi1W5tLvPFfGiBvRQukumjS+wrwasOJ55m6
qZ1+qJwuKZ+yfFdxAB7bgw8SoHuqzH8HJ75AI6OmCtFc9NGA9qBB1tCgZPoHf2LPgac8tVNLeu81
xR3RJF1isVlKCU3eTGl4Vwe9MWuV1NRJ9Rknpeum+1RxWY1e5qp6KzXrka/g4fYs1GK5aC/eCrw0
tdTpeBzJyZfdfnDQi92f4N5/u3F1SPRfEsk/qXvaUymgubFvwL+Ye/TUN9bv520L6qxfqlVSmazR
QXU+bKafKb/zc1azh2px0aPFxG71WxO7ZsvyuqqOqjljNqAKO60NC5rQJsIBDtz29KR+STcGtPzr
j96qKUPO+OPDmjJ6RQMwpPcKcDIVs+j6qafAbrDCa7tzlDDpv+P+/4Jcy9Sm/Vf3TUlbvVrIl+v5
b73ZfNqhKkrI+99ul1z9XmBcoCN3meS6h4QMRncdFv0XNjugI67on225uw2L0cdRG9wuzwFep+gJ
56lCBUhJ0+d82yUZM2hAqnmAoKa9st3eGHagHz2yBtlic1W1CPyHqBKVookPJo+tRKewrpgtqBp5
TXWsetosvCQFdwlvYUkXzCsBxPQSnu+8VtQ/P0X9SpjfqFcBTcI2z1+35GkvYc0vjECRr/mXcIV3
HdVHlbPeBOd0Pb6Fn2Q7rkXyjJYwfUxfybFDCZrbBB/DRI/3YBOQKdR5WzCreBWs4omfm1/CUrRL
S9EjuYQnmKkwWtN5NADYKDc6tMqu7ChRMoXg6pf65YkqJAXzCCnOCeTHc0Bj60+yBrQ12XXKo9c1
KC3rdf+xd5XldcqI9ufglZyJt1A6vwSV5RJSlnNb3Hr8kdZHn+TSKySvcBVcEoquTFllIV5udPwo
zwGQyK1/DGaLmck/OUX3ts7Ms3/3Sdz7B/METVGVk2dadbvg1lrFr5s9tQBZ27ZOHKi45GpGAD/M
n4PrlHasfdpgEsN5uk/LJMB7k/aBnZaFLrhccxUUbUl7hskU+uQuzar7hF5yaz3Tunv6BL703e+x
3Eits3K9ZtgTYVefgQdqD+7gdrBPNd7bgynZFbvAEgdrlnvi38JzeuT5Ob30wGjtFfW2dUzXi0Nr
Oz4tPKDPO69wrXPKYy0urWsHV7k4rTLSb1qyJQ5IYlk/03fjE+7id4qDOtoHk0FtUKqAH6B38a21
D+5txgsG5fjVO3FwJCGnJ+Y4OHfwFh1Al+fOpfXpnSgBojM8eXXfP4zxO41vi138Cl/c6nrM5tCG
RjOVdKlRVKaKg8vi2snG5WSLsCNaOAZTq9Qv9e+doq3oa3rsYMmle8b3Tvn4K3yE++CZVgZecmoB
NAs+VnJO//DDffrmcWWvirqufl5mP6g281HJf+qT2ep7hLnkDtDjOa3oIls/8eujRzLx161dmmvu
pvmIRKOGKBAYpCh1tbcoNV58heLuzi4ou0m0XaxbRS3EBf2bWzJpl/yin0Fcl2TDK29LAMO9oSoh
KIY16Cs/IsYK5pp+kmxxTret3LzCRVXs2mdsgnvynRcR0YTV5SS16NS7hevxMfVcKdp0aAMvLk9o
IYaFtIpnzTDOT8IolWADPQklVWEiAD3tPvBM3r4MQxDtw1AKh54jeIxKfMVVWzJVuzYZZH39AVEg
OPq/v/Odvqk5DeauolfxYSFsm2NJ9ipeZHqxV0hlGFpkqBVd/4MYfhkCcu4UsmxoUJpRQqprgk+M
SnQvdLAvIriihr5tDZHyHP3I53aRsNQB2gdMWZHegrWo5g6efh2ikiuvch8FOBF27YmMObKryBz4
f9Zr/QLHpHbo7pOruxLrWVWjo/opWhjWAHehRG8TumTnV8GLlZf1n4Fzq2YUkfGOCMWinkF2sBlb
weJwL00CNrx8ZqFYAA5zxgDY2TKip4BhkLnCMHN86WN+ZvzXvKrmRmFkuOYs3Nirv1GyDA9dWSK/
mX6R8/SjCEAOsXb1rNI9DHa8Ie0/AUidP4E80PmTZl5BvQvewHVZa++nNWQEp0t2cdGuYlgMduRe
tEiHc/sTluwVvqrH1x+AxliBcpz/pZOgfW94QTbIuvvo1sS+4RbqMZ/i3zLrWA6oBKgGxzZDA9ty
GFnkCrItM0i0jd5b8jLmozBlOFddFRAAe1sNaABknUHhXqkGoxugH+BiOaKsHwW8rHuZv2TBwLVU
nzDET4SoTkjxHCsJDBPEceZwVw53ciJNz5HIUm5D3ZCwyDYhHIj3mE6iR1h38vNuVN0e4ShLDRab
/QpETXYyPYwLkICYX9SJQYpCkGc5Cs+oB2Y3wV/h7BBn2TWKevQzu+rmj5iGAxqu+eYqmIk8GEHL
CNQeVNH8qI8SahUrD7iWOSeMiR6z+WIBHtzGArNrOVBBvUkxcyHV4NGcNZsIOMMUAOEL9sgvB8dI
NAPr7WZnVkCW6Senmr1eZjoiyCGWpptBZ5g3OSE5sWPQMzwoZEPu8mEhSp6gBpFmPEgRQIgzLlRo
evaDTqe7krWVf+UITY4k58oph3J4+qAfq8w04UMVHhudZsMMmE6rn+rgy+9usDETDZ4pZkHBQAi2
EK/aNdqkVK11C5hB526WqknTn/pwEqZtzTz0S9dURI+dYeysaXejhMoNvdNlW1LzksnUEDt3D90R
ItDYJqqq5yV1sWKJgdqsHvZmM/XhMARBsUEpRtKToGRoLbcTw5iUsGbqlmiI/0AGraJC7AUiHIT0
qXFvHNv53x44yBYaQpTZsxVT7qfJ+hKw0CwOeNpqWFK/hC0b6OxUmEMEHsSMAN4FYh4xwIvvMVET
GxKTBTGGeVxmMeOYLjtbDSlfcVWeI08GcTzY6pi5IHqLwqiqiS+SGURgVm6nFgETTpDWoiLK6q5Q
KLrWEOVyV9QtB2TFWOWVy5kqS7bVR0vxg2WCMN+9qzYpIFOzAMTZJ19duYmI1wFvUBBhOKNPEa4F
+gqrjkuFWYTzxKZjKie0nIeCxTP5QzqUcKi1adGir22r1WyOblAlHaQKLC92jHYDs6yakxGrm7FK
/lENFu1u/2OPhnGreA3c5x3WgI2gO+FmKFVIf41oBfnNrzYH3I3N9M5tv34L6LccjzFE6pDcjNwT
A01YUqFbodyrcogsJEzzqEZ0zaNFRYKe2U3haTGzqDkSmUJzH/aLSJ1Tk7A9H8Khw/PqNaqK/DF7
IfcqelPeI2jTWKG3xOGq2+ELJ4nu/FBoa/jLFbtOplpV3aK0Sg1bYbiCf479/e/E1KHKg2pBHrJW
84Oas15nA5YjADUr5YHBxA1RxNK+dVGqX6cSrmvGZvFkw6ijMiQfWDrZBjitZJ0L3VGH4mHWtfBC
Tnd66AI1QyuAeKDqvCLKDkRsHQp54tD8PoK6rupP9LLpVkVjufpzUmkOn66idJpe8GLIWQ6m53F/
G4gvSfHX93FQSdh5KbI3duV3Wp0ON8e+h7+oHfbtxBWJwMypUyh2LG1RyBtXCBDpRq4OACcWheZB
ews2/s7v7BtAQAl/c5TfhwpFiJYiuTmR73jH2JizAh9RHZyzi50DvqQeccfv4Gz3ehioiEXywAjN
HHw+HJ5UYhO/1fLngAzB5WxBMqzwbY4QNpsztPEnRFtBFgQP4Zo/EYMji6nxSY+cs/dSzeYjQeZr
fBy2Po+PXXaXhZxJqPEHdv86NQjQplAbspSLnP0IBy9x8qB15FOGcKANQt2HyygdkylmWb8hiTq0
jqkwagxi9J4Tvw8/HOnYPuhqa7EyeBTgEumBeNueWi4GXstTvClEUDVtRvbYBQ6yp0btd8DneSon
otrM7If0kaolTnRR4baza0NxSos45Q9/mrT8zhHtyB6KaSFbMm+1MAzM3Xxs0tma0IeJWwmAQAjN
HO/j2U7UOAkz1/ltjce21bv+jTIRtkKkRDYS8Fz567dk5jlW/XeeJBBRYkNO9uJpSX2ij5aL0VGk
+xs4HrwNRBOyJr6rRRzHnlosanLH8WBxDY62bu6xCK11f2UOfsYnz3GxQx5LM3wR0QG4iY/npLMG
IHaGgRS8gzoxuy+zjsyA7BjrUl9QX8hfzyDzc+E9fsb1cOtvdZWDHnT35G/tzuzcBflDjFatzCKm
PYO1HLBBFJDiiYoTJAbz3d6YZZbc7cgYvVbtUaPsfsxoq03DTd5Tz93tavBprqYfrGdyzuGibfL5
KOZA7hw1e2FLhbhQIKafRm6Essic2DsMCJM4D/buBhtHtFdP9GlpCWtP1q8OpDb6EeHzA4k1JSSB
/sXswjwjcYAJLPYH5zDnacFBmBSYqnqzhIbwcBdE2j7Rea5AUKrmP1AhezUi7Y3lXoyQ9jzLI3Xf
OBhvjewfDCQQUOYgI+EGeXX0/Qsw5blEB3BV/SxzzGfjEEytWvfey/r3ePmlyPVbQvkLumsPGQr1
3u0Hj1nkuWgO6BeHdK3hXNwu1vSQvKOLKaJwLg4ht1wOYuGMrPfTcCGww2o2KxNU+9r7A5HUwrNk
YPwATWIGsRk1WBPkNB/fOvdxxegQiqv0s1MjFPOdrZBNw7Fm/jhXRXZfD576bLnZpzoHZzZ8APlx
69wnKzJgepEprxUkNmgv2u0YGFJ0ACTBWgGkiq4WqfEjMaC/rSWrKo8yz+8El8QaY0gbAZeyiqEW
yLvxtA3uK89iNgYjUYpBsCboFZsG5NNoNIxrGD7KJfC5BucccfWjYECoihuWx12372rZjSSqhxgJ
BqMGGz+K293jLE8GmJN5XKnYlWYUBIYvntCKYmWJhMiQHmbZRnj8YadFsFNYF1ztcqfa3WUXEEe+
cteL9hKwTLW28Azf7GZ9mMYsrlxTzA3csQjE7M0p2iaIbRAoEkEqom7Af2XR1LIuMeGtUz+IuQRQ
FOSufjYo5Q8ikw37YT04XoXdwRrCPqcTBNk6mxGEGbEj7WBrYVx6+dTLybo+cFxFpYC9i9Kb5RQ8
8UctY3vCD5kBstptol0bdup2OsOh36KNYR1gRVyxd3ubH3pjsLJBhe46B+dINK/Z7PkdhNUUaaUq
LV4vauNCpdRtgCZp1Vq9nvtxjlJw08PVdj30jm9PSNQEkXfUWPlNEKZohnvY93DdsQqh1+n8+uic
uyv4FYObKPZssbXqZ0AwXXUR3UZx8G+uQyFQ/xHnbKVV4d3N72UGrG0FUKVhrsNkw233a3nD+uI/
V2BeudXOb4foKv0n6mWrGKr0xEgxmDoMKQQFl1KRwyK7v1cbP6ep7VWzinYqtCq6qPSkxg80/wvs
hQPtQhTB6t0qoINtTRSCxuYrALiqMi6hQ/o3PDgGAOzV6mddd1faDvF9jgA0GOZQXxvl+I6TW1Pb
+TMtDZ7Tt61h3N7M0YJB87D1BJPGjFwTxCVQyBNQGnIdJt86OLpZ1G/sBHGZNhb31m3ZvHOf/BwD
L5t0km5ckbYOiq/8XWPv5zDOj/5KdXzfH2JF3YLL8BI/gr3PRNifM3Nfg32E1eQReSpxZFZJ3JyV
aq3NCoLYmgL+Il78V+PJ9dA940ts/eyf/V7os3e0OeAUzIvhjjXL6d/vBj7NeHxOaHj3n24TlvmX
3z/30T786PG41KVlVefHdJyoWvcwOAyylOl8jJUn0LDXR38GiYrziSAyzSYpCfSse5q3odfETacM
wkbVdEvQESQQUsnl7m6dUp1Va9ZU8pHYO+LO5N05YUgKlhMQkHgwFQyJcVLQYxwZO1G0V7rb4Jrc
BvRTtmq8Wd0FRZr79uYY5nyxTdl1tLhvo5OykLsPGaQWe0gpO2bsIJ84pOdk0xtvuYGXxR6kkC7Z
pteErgc34cPRSk+f5mE/+une7m4wsy7qHt5DDxvyYQ9qfFIr3Y8q7p7kfG8pBFp0x3Cb1lSWlv1r
8qVZsN81s3vCvJnMj+E9yTuACrg8cp8ByU3uZ3yzdzPhrk/cCMDOmAxPYHQJ37xdve1Fn+VtUI4O
KmUoC1fJOvG/wv4gKEieQ9aIbj49/Gg7lJv+6DsL+LDJMTyHRXdIOaXLtZ/maWjk5diMroy2KX0Y
HMuLWEaseOyVjaaA0VzNxTJji029s5gPFoNhmxGjZtp1HrfBY3AnjhleE/qGOTrgWZYciHkm6yDn
vzgyHSXcgdxDQT9N0V3DyuieeNGkeWZ9ZWbp3T+CfxDue4xmCjetP/tJUY8P4MB369hsKIIV8fRF
UirdvEqnU8q3VN4QdLZy6ImaUsJqoIgyMECuGsk5E26flAzY7Bjw8LYl/U2G58Lj5heDDEeanjqd
2TyWIWMc471bjfK93CORHrXWrgW2D1sB4pk7fhfYam1MO8b6URpLO0lxHvqRRnWsVWT9YSeTvaSJ
HPW0tScdMbjXXHS3v2ijPNtB0I+6AbM9DFDuCdSSVzu3zKstjXCaLJJknqCBdSfnT/tdzGgOy4Gj
MeQ3zatI7p+kUr/LkQIU1loFbQ5H34FeR92u1lYR3BvuwmGq0V98EZsbOkjB51HdqA+CGSITvomi
JefGPuYbPtL6oeY+BJ1Gcsw+quC75EIeaSR61HDLJoh0NE3T6UHBOeT5VOiTIyIOrVsq0VGf+wza
MZqz27daDjIt6LqPwftdnn4Xfa81qxRiRWMZT1mcjeledM2xp+hkDOITApEM2pr9Zd6tGr+0ryxS
mxck5tHdRih/1qjkiqq7XHKujQlYpC7XJbY1y6vJoBXlsk0g9le7vTFtHIVl0O+z4H1owZCe4sYY
AElm72bHiUWq4oVK9kpkjERKf1udUPEyDiqEl/Sn+ISsjxAV6a0vuQl7ihasQdrjp4EigaDTUz5T
0EgD+WCaYuyn6ZhF05G2cjMWr8CmFnYRn4SNTcZpguhAm8pyV/ixrDD8m/DZr8skv1GtDhh/3oUO
RRJ8/xT2RnRo4aS3G3NfbzP9ICKLuPMITwQTWVPKLiGb6Tl5Oy9C2pSjGiDWi3dScTWXBSckW8RV
8e1xzi85uTmuX7J583lryH/irt4RE2ckI42j5mXpHP5KJAkkVRT3gBRmELoP+yF8fREQVyS2yBhA
BlTfswXr6XUgYoBt/cr2sTD406DA7duAV4gQrfrbDlK3g5TqeES+PPsMC7ZP85PORc8kr27as29E
soTFXoNqVOB6qhFYiYO8y3EfewB5956hT+6Zn2evoPRhVkXr8FMMPr9bVYtBuwyiqabpM6gFFw3n
WaiH0Ex8aFybpCC3lhom0sLl6Wa+d8VA/ClM8iiNYPxG3CBF5wwXsyKrqZex+Rk14rgr3CgsEsSk
bcHdRrqsgdnCpoQpYdJgSXhZBYXWAlN1mekBs81x5xbYooN4sVh2V4ZDCK/DRoQjOHgfMuuv47KG
cnjGBuI8RlHUn055TegQBsOzzVQyHKdjlPF4PLzjw7K2xFde0MoQImNDrLZf+vobQSCOeat1Qd+T
s/V8knRaowM9y9KknKD7hn/6nAr+7EcIHiHVitAdEfUve4jEHU8pzQ52ho8WEHfYXfz0+325UYAY
WGL6sXArJ1Zy6ke2ch14+h2uY7rDbSkpJu/wvDh0hN6q8J17gDY2qi8nI++sq9E6uHSOV3PDR2pV
C0H994hY7V/ZuCS3pLnUAWwKKkgR1YxCRv7/4SFWDSJMx8k06sN2fS6SnbPTc4hqmPb7SdqXC/vz
QOqcJDnN8i5FiGJ7GcZ3q6moGnrGEZRTRKTwhMcFlfU2yFHLSo06hhJxL5+qHo6b869heVld7heP
KUqPkt0HTWO6vlxXSS7759ZjStVFazc+pZOYKnbaPimGV5W4GFNUbJD8xZMBT2L78wwooG0+CQOI
j7IEVU0uC9e8gZ4wmb34YPTh6K9cPLFmdMb7+voQYGJomgQIKXRxGcgQxd1uEDdG8RMn9K0bN4OL
JDGCt8LFQT4f9FJ8PfzGxmjQiEftxSBGQU10e9mfdiW2LNFQAql/3GEiErGOvkSU6mVAYBVxzSBi
PDIcKCgYP0cS+RJrFTdI5C5+I5SN80hwhuBOEVKh6farhhHX7a/b3Y5Hi5jLgTW6CH0oBT5C69G1
bTbdesgl4c7h+3ABgDX616j4Az7abQ7wwCMjUUdFRcMRcGpzWpz0mOho2XzDxW0dBzirFF2wDHGg
u1P0XRelgerPLJrgbc5YM0wZ4zGuKH+nh0JGCBaMnjPxcOZzE4H/6NIIMkgP2DUYOiLbRfpge607
6/SlO3R8iTWt5w/V2ROvxe5ukkEbrlQh2BE4kUAG9R4bonQg/KMyWcb+zZ8Kf0GtY9EqwvZptDcH
4t/xIGi3MVN4oNPQfTrqohGjTIscYunSqU1s1N/JZgp59KeI6rGdphhEYissOcZOERVvL3PoRiyG
GpIEk0EC9W9t7grnHEeZdSKZKI4wCIBCaBgS7EUXIur300Dc78aoYURjI4qiCPJTUTna9SxKbYkQ
6wZQW5fNQydPo7RovgSSN6IoxwXL7xrSooVvgibydFoWGw2vfckjCrh9bi2KkHqcAY1wwU7oLojx
4TMjmIsGoSh1NFGRmwp4g0CZDhCCqeVAHxTOeDpNsX3lMeaaCKVH6HIWg5UQTfjRybzVaYkYhNV3
lPrc9BYmWrdzYXvZDaJ3wi0hWqfIiIDYIi91IWWsHMRqSWE9IwI4HjeWJBjQ/IsoYEXTCPnIleBM
RDtY8qaxJMXs+JYcqWsPWYEz8AwrrvtKo1v7xtYcXQQNFtWrISK+r0Xlir2HLulzPFkMhFbKtSDk
//Nv9h7+0JriIG5SToBJ8S2yYW1QQiK3utwEv1E2LA6fEjke8ebRfE1GsZTlB0WMZtNFA/4YT589
eVkuFBwP/ezd9MvfBjW3DbLAY62AK+LTNScSE7QXd+0e7M0/uuoUFMRgN6/Fp2hrGZwN6R4dQpmb
u/il+NW4dukQzSPNDjqPSUjGD36Pl+y1SOQi17qNMPYwWuV+hPcJ1H4dr4+lhJ8neSSjiL4dTCEG
+y319DFMMqwrqFGuvy8W5k2fGnt374p14XGpteAeXsPHoOq/0Ux/9oT75iZpwrWcW6iJXRDJnxd1
NUU/Qj6YVRjmT/SdfJJLcLsFzpBeLVYtAKg5etHJ+mG7ebqsL+w8agwqEydQlIXIjTd+rSjmIjQC
ycuL4hJyw7wBA/yx76QiysIM0C56cypcAimdsMpgm6fZ977f1NPxusMLooRA045WxJ15QlDB53I5
u8vjR4sxhcPI1+TMKw0CCTbMJcWf65SjLL1N5SBywH2vNlotnigtUVi36YlBJ53iRj1J2KVoN5Kd
mXom+/G+RQcT82dr7HmnrB9pMTm33kkuukQVaKOAIYeNKW4INoOwNKVyyA+2Fnv9DWUV2VsKiaEa
3FmUfh7auGicA89iHJww8qECIRU5XD3y7H68Db42NdTD6omxt/06dgV7bUJg7Ig+unsTMkSFeLov
KvDm1zglmhubn99r28/so5G1D9DPHZsRa4aodml46lfS8piBptDQCtFdHIm5KDxQizfuFJWSz+Ad
rkaXRha9431TnMJX4948Ng+ksgOuEguDW6JybedWiCSxGPoRfd1OCFNsPTAweS1qt0cemUOU4NYf
IEwIbcK4yPavaWEZlxvKsogS5Fu+SAL8AqS30OOFY4lKRQYLd5y0fBhOx87BGuzGDaxMNCV5AI7b
jdIutiXe4ZL05jKAcLAKhTgBo0BKQx5pdzngDZu0bILsEwdX5JSovWPo8Sms3Lg2PET0FQe1tNa5
Fdwmz8wMBRxQvVVt0XhXz6mM9DB/tHIhg27id7BpcuGBPE6+5HfIZ+bMxj0D8LH/tJr8t7WKZU+a
U/8e2L5cqdMzUfbA5i7Q6lD/p2LFwm4HRPzzvHV3LQV6Of7dJsC5NRhyQjjwT3oeuGCTjw5Jllzt
jQIbABPsy63S67IwJ6Lu3n5hvKNHdMyUDIa/La/L/Ft58+PgBnTYlETFvGJJKofX4ba//q0xVamz
bhA1Hj0JOROQJ7fKj5FqvlWnwm+68xPKKgjUXkKPQr4f1yDjUG9KeQVZYP8TEN2jQwtV+3InamPX
rRnRV7HVJOEgQeOPkXTxjnKCFQk5MlGdTpM6QUL4xBbQyQPkpSQxCON1ZjMKeTsd13QckWyt1LpS
+jOQdHS8aMfkzSVm/9QXFgU0eOqMiBQRKCYdgga/42dsyYJIDeKZbMu3jpZE/J1cB6FfiRD+itsL
DgbTw9s5TWaYCDWluaR5peyC0COVATS+mjeRmxLBn0LEzHDyrHS+OilskuqVDznWE2EiIkr4obeI
EWM4Fxv/FgNg0sYMIvRYdrTlhW+qGSsR5YrxLiA5SlVV1tpSRrioTc8/dH/9rpsvgE9BM1Dr0TV9
Dy49qc9aBRJb3QU7yhfz1OO8KDyKn1SsvCh/vPT26aGXX+6mq47UNEqOp+IDhkUaZJd+SNY8DEN+
KD+621xzPz1OPZY3pQQSe03S63Rrmp1+aPrZKCmOHtHd4R65iuFiCvpx1ZWnfjMTcnwIPvipeVai
GoErVJDYF3LzMtj0Jt36D0i/SSnc9HeN+kQfPpQilxuvqNDOBhvqKhsP3PYCBtQpvRLmugzuo48/
cXV97BfiuqVfy37d72hCajprSmlL1tw3Jm5eQJht3MtHD/knWwqrnTsbsW+B1TU4dM4ktKumVmA4
lgGAZ48YXR6TPdbtBuNLTNlH8Ihp+X0M54TDRNsXDX4J0u/QvjUenXxy0/UoJ4fnvQmy92VP6Ybg
FwW7rcdghwfz5uWHAgpn5anzuPBS3u+TuN6wQDnTSpenKyTzch8+id8yhRfvd7qONs1Dv9Shafg8
y43fQ1ycdXSP67398IyoAVerwgAEzVyU/nlYZBjXTRWA5RqW6DpkUHQ3X9AyppKIEKEIRDPVwch/
0ekrRCMQOUhdTC9/G0lMb4Nh+6/rhsGko8vqn0VQWaa4lotMI6NJ6p9wKC8eKMGrKsNHvWZjJtV4
MN+SLqFNerUELqmHHglBAwVMqeS3TG4VP5q3HqWEsOvbAuXmrWxWC5nGoXITUgkFYCjNaS5wx0B8
PIEjZPohpWfukHPUnt2jbFTt5qiHeLncJCpk2iO7ubeADx7CC/PFBpu00t4mAB8+yJ6u4ioUvNGU
uO4eaElc6CgfFX2vJa3ajSKssKcKigtJsxbRfxYStt8jX8jRkeNEMNC45fbphaJN2ISUJvlN/0O9
35laZtKGtP3s1IqQ07hsalQBeBQLMjoL7n0k1dGhFuR1Fj7MKbwPKpkqwKyX8NADsuZggZ6i93W+
5VLdmaDR6OZqmuwZcqg3adS7O1AtN8k131tVzWdebj6w8IA+c49RRu7irR4FdV2BBKgf81LJ1RqX
EQ1KIKowlVHvZiyc19pSOw76LGV9k0YJB+c2v3AW6kmpTbuqcnBv3JorknMdSl17DN4s6uqoPKpE
6/EaGO4aVYHm/TI/z+nl4+prA1zR7ujvKqBH0dOuC7s+Ha27zi2pz08TJc1Pnr+9W2+VfrC2YipA
X2iR9DzYdPYdD/PO4458xtWVH2n9HO2jIgQPXGB8uNNxarcvd7uB2OJfwAYjlU8ly8aeGREVrHv1
rsgoBmiSrjm5fIPim5/LVZ99psNum6XxxqdA5Oo/f+puvbgcud/9R0trL/kTRGh5/jkqb0JJd72u
9lTZR/foxthdv9bwoIEpojEFqvlKuG1l89QgUxNN1UarluY7XvOJcTzKVn4ZGZ+CH1SnkBNx1Lvd
LPT1ro+ycbZP1sAoAoRMU9ijRS7wt2JE5F9HNFWQ3AOjprlBKveKmV4zvnRN9sUCnbRPctNTvEo+
bQJ9UMiarAJlOv6uBJdLKaTKr6lKol4TO6+g3pRTZi53JGlXpv/jjOwCvv1BWkuqla5UpN2G9c4u
KlMu97yqLdZi/MojgxgIixbb2BkF8sh1e/QfXNUtKnZJp7jfj9rbyUA0VYaizqiofyV1R2EfxQFn
Cj7RtlM0s3oFCMrqFv2Wo/6Nr83osqX88gykUbSmjCejYIrBhbecOeTRkLUDH/2oqwaa8eBegPWr
9aw+9dolTye/vavn3M+HmCla+BpdyQoCRkeqlzww9EDGlwmK/oG4QYeTh+X4WFJ1JHyruPAam0uY
UFc080i6FiYK9qLImvsLauQ9UOu9il8BmgYqLndqlXizC6lzpcj1Oj1+QKA35UoH8OyM8vVTXLhZ
Crnr8X2lZ1Un5aaF4E6h1u53Rz2Pyz/DVRsYkMWDPmfwJYcT9l69JtpLPz5xwjkhZlMyZEvvSOCQ
xszdUxWbxeZ1XNyqnK3bC4Sjz9Tzl/31rsnOPvAKmFpAwRhT5Q9w4/EEcXtBeadnxQqmUpO1XLNw
VVeZ1ofIx0PRrgl032ixUJWnYimYEffIaQ9lAIjrL6D1BJDLuk7l1Yk9LT2H59EVqtmrqzuTvJRA
vDiBxHWDUoBL7GEMF3GMth3cM4xjULPQGaI/0qIDvLdVIOh7wAel7zPOqMLjo+kbsKKaJuH0UNJK
9GBOq3np/8fcmSwnjjRx/FUm5m4CJCHEYTqiJQFiNRiDu31xqIFh04KxWN9mHqAPE/MIfrHvV5Kw
2cY9n8UBRXRHYESqKpWVlVv905fQsKQOhwWVT+B9uNRaDsDTsmauPis83dJUpi+ZzrT8HTRDsoqc
zjbMPin859sXun541RmnhRZbfMz5AL6W89RvuLfjHs4krl+eGAzYnpSuK+Q3NvfToOWbrqmQn7rN
DGTw4lfFjrtaM4nA0Jb6qtxJo8qb666z7uTSZRpRKjeVIG0N+355NqqD1rhxihnCZKCrSN3spC1z
jtcKqvmcXiJx6jYJ3/fUsjKuPqkFqSkRdFGoVF23Ue2tHMUqQ2P66JG5JNhXX9Tvei/mtDzmWBY6
D/PopbhuZUr5zhAwxeZNgSR0KyNy1VptRWR5WZC7OK5/bhaG49BHSne6y43+dDvkWCYKk6XdIkMs
zCyprYSW1wMONS2Qvmm3Xhd7ZkrVm6q7fbcpwQXVElEXp7G0V0t9jbRRrr0wgHsKRB6YiawoRAS9
0xU2qjlCZ+jN8YDSej2g1TLmjFOg10G2o9GWsyngV+8mVg6JvvdyVV41YEqkZGuAYnG+fkivUxRa
F8AXTpzelJyxMbe9RkDRIhUIdrqmBiQgsoTKtoZfY1aF7aScrQC1QXk/UCGoUR0JGlm4o6WgsXWo
LKhP7nK8VJzt2oqI0xwXWGuAtN9yi8uSY03zFjFl4gyagSsrAh5CfImRk2RmAjUaFJtK0Ten7TRh
3wVVXBvLLY4FHqwOPrVHJaVXVGpB/Yb+OQRMnl9K0sxSAU4d1Z6qy6A4TxeyNt1qtgQ1/dKM9Aaw
fBhz5VV52/EoUa9MeyvZ9Kn/okKN6sLuCsiMoZl/zD3O/pyWF6aEmQVu9nytzytkWYtkPX2zQygU
HUlNInZm37HS95u2MzNUTOL6nGDHTQtbU37GRhPuPHBgllRclL0GS4x8tAh5kMenUliERURYYlWj
yatp+6Zm+UXhVIqSQELCImiw0fMEpbWhTossOgDnTUynZ7+y5v8fEqrVWtNTYKXnvnudaZH1PDPV
mTnKkQUCS7fAqBRYRoNxffFc8G9Md0H0K1vO0atssAXj7xtIRDlKOYKirJmKeFFY6qXRgygtEWkS
EWdRCAQQ3q+IyIFbTFs0RJ+0CHcBhMP0sBlqzHzdWJVJr5uTuyhLviI0RHSGALOq99bY/5MuxnaA
005RD+4I9T9EdbcELzwCKyIG8DQEf5s3qk/bo8dxO4D5P9y211J+8EDSo6MKgDq3pAbmdf/WRSwI
oxINAGDG0B6E8FAN2May0telWUWtLkuIWIEQQJt4K4Fng65whiUyfnaFoGRVHHKccc6v9GC7yM4Q
f/e5UG1N+LfBp2Qvb40eR52X6oT6a6dE15uAMMXCuGnTYLsv4S830tUbfifdbftTNiZOuDwMb+Xv
2ZHufds25XJolMeoYM3I/wcmbB947Ojjl2s66LwHZ3YCUhaNmzO1AsIsPEx773/upn0stFNCB6hn
PX/hgdB4NxgCxraPTJHFuTnAOwsJhYBrHxFwQHULFn3w1JRUGmgygCfwghzfG8Z/pkNPiiOVWkbm
OHN4cfSYB+1x5nTIpxBvn7vnYOS/AHyTGfd/YcARmXcG5FLh9LRsPM/0MSOyKbxFmiCoEowS13Uy
QkrKCIUelrKsZQT4XXQdSQSioskqmBTxDYTurksi8gLvRIsENQpJvq3R0xXxrwKRT8kcuFdyGgfu
w4sldrAylBQn/GVabMhv318XHyKUA4nQa6KVAZQB0Af0ehTgheF1xAhWBjCJAOHEXwMYcF2MyNJT
OyETsqm0qmoC5OF08nyj0u41koLoQdenH5NKQTalSjkN8ErwiaLriBFSSpNU1CfhtPCCUdclBfFy
iMb1eb2gpGiOo4HO8+8bRQ7kD02WxY7KBV7BdTGC95iNdq8kXNAyqko3IGZ3oBVFi6E0U8+Fu2U6
faViICfdHn5pL8gpSbDgeu0FmZeXVAzokg3sGSF0EMui60gc1FQ2m6aN385YiKyTK1KPsgwUW8LN
AYtIZo/RcrElkD42FbIpmmqpqgwecHj9HyrhP7DqzRUxRmOnHzoh48FLaOpEpvgvb9i5IKcEYhu8
3P/jd3yMg/sEEHNEeRDCO4vPXw7MqdBN2Pty5zaEj4l/Hs/v9MkHz9pNavdHi8Mi9rw32oRfbOJR
NmwXV8awnb79cuAdhfv/+0BO4KPf7KOP6N6NX+y5oL1POtalSWnf+87YPSAcy2VSwl3bcQbgZDng
YC16h0+I1n/SJzTorSueEMFtef3BfJ8/eSWtZoUvlfgx9nz8+re/IyQEUtBmye3+JATqc2+2bg/7
tjM4xAiDOsDamHNJR268/jPv+z8OeJ9XMpoqEJwSEz9+q1BGI19g2DSlfP25tI/eZuxZJR3218B5
/Qut0Tt6oSBlCsctMXnX3vreoRKIzL9LvNAmvXBAHj4Yekz9AmPv2osZYHY7JghBj4njVyVljGE/
LwbB6187SnvUceOTUgcydTk+i6ufwdBISt1a0GVsR+Z94MK/TUqagY+915/nqGeSU28txl7/9ecZ
eZEuogFmYxAOf/ugGcIF1G99EJzjDoZMUt4bNJcAntFlOz/3hAtosu64N7IPt+3YF7zIivqwl8Sb
ZfS5nenr/Fi/xyO/wHrS/Y3dO6cKLrGlUtXSe/1nJx3vq1W+gMR/han+82J8RlxEGDipQIawocd2
TMR24TUmJv9BB9+E0mIMsFB3I3znuXIBMf8lIHbCoe/BuP5me/19JNfTCQmI2I9fwzmv4i1rcepr
7DIW53526EeJO3rOwJ5/+R8AAAD//w==</cx:binary>
              </cx:geoCache>
            </cx:geography>
          </cx:layoutPr>
        </cx:series>
      </cx:plotAreaRegion>
    </cx:plotArea>
    <cx:legend pos="r" align="min" overlay="0"/>
  </cx:chart>
  <cx:spPr>
    <a:solidFill>
      <a:schemeClr val="tx1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102210</xdr:rowOff>
    </xdr:from>
    <xdr:to>
      <xdr:col>6</xdr:col>
      <xdr:colOff>699234</xdr:colOff>
      <xdr:row>34</xdr:row>
      <xdr:rowOff>175602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96253BB-DC0C-4B7F-AD40-897916A844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50799</xdr:colOff>
      <xdr:row>3</xdr:row>
      <xdr:rowOff>113567</xdr:rowOff>
    </xdr:from>
    <xdr:to>
      <xdr:col>2</xdr:col>
      <xdr:colOff>553914</xdr:colOff>
      <xdr:row>18</xdr:row>
      <xdr:rowOff>30529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Vendedor">
              <a:extLst>
                <a:ext uri="{FF2B5EF4-FFF2-40B4-BE49-F238E27FC236}">
                  <a16:creationId xmlns:a16="http://schemas.microsoft.com/office/drawing/2014/main" id="{56D3D3AA-94FF-420B-A8DB-1D68EDD56F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799" y="812067"/>
              <a:ext cx="2027115" cy="27744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607706</xdr:colOff>
      <xdr:row>3</xdr:row>
      <xdr:rowOff>128222</xdr:rowOff>
    </xdr:from>
    <xdr:to>
      <xdr:col>13</xdr:col>
      <xdr:colOff>668277</xdr:colOff>
      <xdr:row>18</xdr:row>
      <xdr:rowOff>79620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D88C50-FB6F-4449-ADA8-14256887A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70583</xdr:colOff>
      <xdr:row>18</xdr:row>
      <xdr:rowOff>73634</xdr:rowOff>
    </xdr:from>
    <xdr:to>
      <xdr:col>13</xdr:col>
      <xdr:colOff>722191</xdr:colOff>
      <xdr:row>35</xdr:row>
      <xdr:rowOff>4151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0917C2D-A2CA-4F7C-B123-C6CC9AC0E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464528</xdr:colOff>
      <xdr:row>36</xdr:row>
      <xdr:rowOff>23446</xdr:rowOff>
    </xdr:from>
    <xdr:to>
      <xdr:col>13</xdr:col>
      <xdr:colOff>735381</xdr:colOff>
      <xdr:row>47</xdr:row>
      <xdr:rowOff>100988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C6A210F-D539-4C6C-BCAB-2EF0F321C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552210</xdr:colOff>
      <xdr:row>36</xdr:row>
      <xdr:rowOff>20771</xdr:rowOff>
    </xdr:from>
    <xdr:to>
      <xdr:col>9</xdr:col>
      <xdr:colOff>410971</xdr:colOff>
      <xdr:row>47</xdr:row>
      <xdr:rowOff>89238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094EBD21-81DA-482B-AA17-CD958A88C7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0210" y="7002596"/>
              <a:ext cx="3668761" cy="21639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172915</xdr:colOff>
      <xdr:row>10</xdr:row>
      <xdr:rowOff>108439</xdr:rowOff>
    </xdr:from>
    <xdr:to>
      <xdr:col>19</xdr:col>
      <xdr:colOff>153376</xdr:colOff>
      <xdr:row>22</xdr:row>
      <xdr:rowOff>98913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ía">
              <a:extLst>
                <a:ext uri="{FF2B5EF4-FFF2-40B4-BE49-F238E27FC236}">
                  <a16:creationId xmlns:a16="http://schemas.microsoft.com/office/drawing/2014/main" id="{FFFD5321-6468-41DE-9874-A0EEEC11F0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40915" y="2140439"/>
              <a:ext cx="3790461" cy="22764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1954</xdr:colOff>
      <xdr:row>35</xdr:row>
      <xdr:rowOff>182930</xdr:rowOff>
    </xdr:from>
    <xdr:to>
      <xdr:col>4</xdr:col>
      <xdr:colOff>491636</xdr:colOff>
      <xdr:row>47</xdr:row>
      <xdr:rowOff>86702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956CFD9-0667-445A-A506-D8CB914036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177800</xdr:colOff>
      <xdr:row>22</xdr:row>
      <xdr:rowOff>167055</xdr:rowOff>
    </xdr:from>
    <xdr:to>
      <xdr:col>19</xdr:col>
      <xdr:colOff>153376</xdr:colOff>
      <xdr:row>29</xdr:row>
      <xdr:rowOff>10991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orma de pago">
              <a:extLst>
                <a:ext uri="{FF2B5EF4-FFF2-40B4-BE49-F238E27FC236}">
                  <a16:creationId xmlns:a16="http://schemas.microsoft.com/office/drawing/2014/main" id="{4759CB3D-BA62-4698-A5E5-4B557D3B71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de pag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45800" y="4485055"/>
              <a:ext cx="3785576" cy="11774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202223</xdr:colOff>
      <xdr:row>29</xdr:row>
      <xdr:rowOff>105996</xdr:rowOff>
    </xdr:from>
    <xdr:to>
      <xdr:col>19</xdr:col>
      <xdr:colOff>141165</xdr:colOff>
      <xdr:row>40</xdr:row>
      <xdr:rowOff>3663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Departamento">
              <a:extLst>
                <a:ext uri="{FF2B5EF4-FFF2-40B4-BE49-F238E27FC236}">
                  <a16:creationId xmlns:a16="http://schemas.microsoft.com/office/drawing/2014/main" id="{34AF079C-21C3-49A7-BF98-AC8C337FDA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70223" y="5757496"/>
              <a:ext cx="3748942" cy="19931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1953</xdr:colOff>
      <xdr:row>0</xdr:row>
      <xdr:rowOff>125779</xdr:rowOff>
    </xdr:from>
    <xdr:to>
      <xdr:col>19</xdr:col>
      <xdr:colOff>236414</xdr:colOff>
      <xdr:row>9</xdr:row>
      <xdr:rowOff>1404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">
              <a:extLst>
                <a:ext uri="{FF2B5EF4-FFF2-40B4-BE49-F238E27FC236}">
                  <a16:creationId xmlns:a16="http://schemas.microsoft.com/office/drawing/2014/main" id="{05CACA6F-D6E9-474E-AE55-49130FF9F5A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45953" y="125779"/>
              <a:ext cx="5568461" cy="1717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4</xdr:col>
          <xdr:colOff>752475</xdr:colOff>
          <xdr:row>3</xdr:row>
          <xdr:rowOff>38100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909.801794212966" createdVersion="8" refreshedVersion="8" minRefreshableVersion="3" recordCount="371" xr:uid="{1317669F-A9B5-4C88-A9FD-48B7057515F4}">
  <cacheSource type="worksheet">
    <worksheetSource name="Tabla1"/>
  </cacheSource>
  <cacheFields count="16">
    <cacheField name="Documento" numFmtId="0">
      <sharedItems containsSemiMixedTypes="0" containsString="0" containsNumber="1" containsInteger="1" minValue="1" maxValue="369"/>
    </cacheField>
    <cacheField name="Fecha" numFmtId="14">
      <sharedItems containsSemiMixedTypes="0" containsNonDate="0" containsDate="1" containsString="0" minDate="2024-01-01T00:00:00" maxDate="2025-01-01T00:00:00" count="228">
        <d v="2024-04-09T00:00:00"/>
        <d v="2024-08-25T00:00:00"/>
        <d v="2024-03-18T00:00:00"/>
        <d v="2024-05-23T00:00:00"/>
        <d v="2024-04-23T00:00:00"/>
        <d v="2024-12-19T00:00:00"/>
        <d v="2024-10-29T00:00:00"/>
        <d v="2024-02-02T00:00:00"/>
        <d v="2024-11-23T00:00:00"/>
        <d v="2024-06-17T00:00:00"/>
        <d v="2024-08-02T00:00:00"/>
        <d v="2024-01-13T00:00:00"/>
        <d v="2024-01-31T00:00:00"/>
        <d v="2024-07-25T00:00:00"/>
        <d v="2024-06-27T00:00:00"/>
        <d v="2024-08-22T00:00:00"/>
        <d v="2024-04-16T00:00:00"/>
        <d v="2024-12-07T00:00:00"/>
        <d v="2024-02-14T00:00:00"/>
        <d v="2024-11-03T00:00:00"/>
        <d v="2024-03-28T00:00:00"/>
        <d v="2024-07-27T00:00:00"/>
        <d v="2024-06-11T00:00:00"/>
        <d v="2024-02-24T00:00:00"/>
        <d v="2024-08-12T00:00:00"/>
        <d v="2024-05-14T00:00:00"/>
        <d v="2024-11-11T00:00:00"/>
        <d v="2024-11-09T00:00:00"/>
        <d v="2024-01-15T00:00:00"/>
        <d v="2024-05-16T00:00:00"/>
        <d v="2024-12-27T00:00:00"/>
        <d v="2024-05-31T00:00:00"/>
        <d v="2024-05-01T00:00:00"/>
        <d v="2024-09-16T00:00:00"/>
        <d v="2024-06-01T00:00:00"/>
        <d v="2024-08-27T00:00:00"/>
        <d v="2024-06-16T00:00:00"/>
        <d v="2024-10-25T00:00:00"/>
        <d v="2024-11-30T00:00:00"/>
        <d v="2024-03-30T00:00:00"/>
        <d v="2024-02-19T00:00:00"/>
        <d v="2024-04-01T00:00:00"/>
        <d v="2024-06-10T00:00:00"/>
        <d v="2024-10-03T00:00:00"/>
        <d v="2024-10-19T00:00:00"/>
        <d v="2024-09-14T00:00:00"/>
        <d v="2024-12-13T00:00:00"/>
        <d v="2024-05-13T00:00:00"/>
        <d v="2024-02-21T00:00:00"/>
        <d v="2024-11-19T00:00:00"/>
        <d v="2024-09-01T00:00:00"/>
        <d v="2024-12-06T00:00:00"/>
        <d v="2024-01-25T00:00:00"/>
        <d v="2024-07-22T00:00:00"/>
        <d v="2024-10-13T00:00:00"/>
        <d v="2024-12-09T00:00:00"/>
        <d v="2024-02-29T00:00:00"/>
        <d v="2024-04-24T00:00:00"/>
        <d v="2024-08-09T00:00:00"/>
        <d v="2024-10-11T00:00:00"/>
        <d v="2024-05-15T00:00:00"/>
        <d v="2024-05-11T00:00:00"/>
        <d v="2024-06-28T00:00:00"/>
        <d v="2024-05-25T00:00:00"/>
        <d v="2024-04-18T00:00:00"/>
        <d v="2024-06-13T00:00:00"/>
        <d v="2024-02-27T00:00:00"/>
        <d v="2024-06-09T00:00:00"/>
        <d v="2024-11-14T00:00:00"/>
        <d v="2024-07-17T00:00:00"/>
        <d v="2024-01-01T00:00:00"/>
        <d v="2024-09-25T00:00:00"/>
        <d v="2024-08-28T00:00:00"/>
        <d v="2024-09-30T00:00:00"/>
        <d v="2024-02-05T00:00:00"/>
        <d v="2024-07-05T00:00:00"/>
        <d v="2024-04-03T00:00:00"/>
        <d v="2024-06-12T00:00:00"/>
        <d v="2024-03-01T00:00:00"/>
        <d v="2024-08-26T00:00:00"/>
        <d v="2024-04-02T00:00:00"/>
        <d v="2024-09-26T00:00:00"/>
        <d v="2024-07-12T00:00:00"/>
        <d v="2024-04-13T00:00:00"/>
        <d v="2024-09-22T00:00:00"/>
        <d v="2024-10-02T00:00:00"/>
        <d v="2024-03-12T00:00:00"/>
        <d v="2024-08-31T00:00:00"/>
        <d v="2024-07-13T00:00:00"/>
        <d v="2024-11-25T00:00:00"/>
        <d v="2024-04-26T00:00:00"/>
        <d v="2024-10-18T00:00:00"/>
        <d v="2024-09-29T00:00:00"/>
        <d v="2024-08-30T00:00:00"/>
        <d v="2024-12-26T00:00:00"/>
        <d v="2024-12-18T00:00:00"/>
        <d v="2024-07-07T00:00:00"/>
        <d v="2024-02-15T00:00:00"/>
        <d v="2024-09-27T00:00:00"/>
        <d v="2024-09-20T00:00:00"/>
        <d v="2024-11-22T00:00:00"/>
        <d v="2024-03-26T00:00:00"/>
        <d v="2024-01-07T00:00:00"/>
        <d v="2024-07-30T00:00:00"/>
        <d v="2024-09-18T00:00:00"/>
        <d v="2024-02-26T00:00:00"/>
        <d v="2024-09-06T00:00:00"/>
        <d v="2024-09-19T00:00:00"/>
        <d v="2024-10-15T00:00:00"/>
        <d v="2024-09-11T00:00:00"/>
        <d v="2024-04-22T00:00:00"/>
        <d v="2024-08-14T00:00:00"/>
        <d v="2024-04-08T00:00:00"/>
        <d v="2024-06-04T00:00:00"/>
        <d v="2024-08-15T00:00:00"/>
        <d v="2024-08-04T00:00:00"/>
        <d v="2024-04-27T00:00:00"/>
        <d v="2024-08-11T00:00:00"/>
        <d v="2024-10-16T00:00:00"/>
        <d v="2024-01-16T00:00:00"/>
        <d v="2024-06-19T00:00:00"/>
        <d v="2024-04-06T00:00:00"/>
        <d v="2024-08-03T00:00:00"/>
        <d v="2024-12-04T00:00:00"/>
        <d v="2024-08-13T00:00:00"/>
        <d v="2024-04-25T00:00:00"/>
        <d v="2024-04-30T00:00:00"/>
        <d v="2024-11-06T00:00:00"/>
        <d v="2024-09-09T00:00:00"/>
        <d v="2024-05-12T00:00:00"/>
        <d v="2024-10-28T00:00:00"/>
        <d v="2024-07-06T00:00:00"/>
        <d v="2024-05-21T00:00:00"/>
        <d v="2024-08-06T00:00:00"/>
        <d v="2024-08-21T00:00:00"/>
        <d v="2024-04-21T00:00:00"/>
        <d v="2024-09-24T00:00:00"/>
        <d v="2024-01-29T00:00:00"/>
        <d v="2024-12-02T00:00:00"/>
        <d v="2024-07-14T00:00:00"/>
        <d v="2024-03-03T00:00:00"/>
        <d v="2024-01-14T00:00:00"/>
        <d v="2024-06-26T00:00:00"/>
        <d v="2024-04-12T00:00:00"/>
        <d v="2024-12-23T00:00:00"/>
        <d v="2024-02-03T00:00:00"/>
        <d v="2024-05-08T00:00:00"/>
        <d v="2024-10-14T00:00:00"/>
        <d v="2024-07-26T00:00:00"/>
        <d v="2024-11-27T00:00:00"/>
        <d v="2024-05-10T00:00:00"/>
        <d v="2024-07-31T00:00:00"/>
        <d v="2024-01-23T00:00:00"/>
        <d v="2024-03-15T00:00:00"/>
        <d v="2024-06-15T00:00:00"/>
        <d v="2024-06-22T00:00:00"/>
        <d v="2024-04-11T00:00:00"/>
        <d v="2024-10-27T00:00:00"/>
        <d v="2024-04-05T00:00:00"/>
        <d v="2024-11-04T00:00:00"/>
        <d v="2024-03-09T00:00:00"/>
        <d v="2024-09-02T00:00:00"/>
        <d v="2024-01-21T00:00:00"/>
        <d v="2024-02-17T00:00:00"/>
        <d v="2024-02-25T00:00:00"/>
        <d v="2024-07-24T00:00:00"/>
        <d v="2024-03-05T00:00:00"/>
        <d v="2024-05-26T00:00:00"/>
        <d v="2024-04-19T00:00:00"/>
        <d v="2024-12-03T00:00:00"/>
        <d v="2024-12-12T00:00:00"/>
        <d v="2024-04-04T00:00:00"/>
        <d v="2024-09-05T00:00:00"/>
        <d v="2024-11-07T00:00:00"/>
        <d v="2024-11-17T00:00:00"/>
        <d v="2024-01-19T00:00:00"/>
        <d v="2024-01-28T00:00:00"/>
        <d v="2024-06-02T00:00:00"/>
        <d v="2024-06-06T00:00:00"/>
        <d v="2024-09-21T00:00:00"/>
        <d v="2024-02-09T00:00:00"/>
        <d v="2024-10-09T00:00:00"/>
        <d v="2024-02-16T00:00:00"/>
        <d v="2024-06-18T00:00:00"/>
        <d v="2024-03-16T00:00:00"/>
        <d v="2024-11-08T00:00:00"/>
        <d v="2024-10-26T00:00:00"/>
        <d v="2024-09-03T00:00:00"/>
        <d v="2024-03-17T00:00:00"/>
        <d v="2024-07-11T00:00:00"/>
        <d v="2024-10-05T00:00:00"/>
        <d v="2024-04-10T00:00:00"/>
        <d v="2024-09-23T00:00:00"/>
        <d v="2024-12-08T00:00:00"/>
        <d v="2024-07-16T00:00:00"/>
        <d v="2024-03-25T00:00:00"/>
        <d v="2024-02-22T00:00:00"/>
        <d v="2024-08-01T00:00:00"/>
        <d v="2024-05-03T00:00:00"/>
        <d v="2024-08-19T00:00:00"/>
        <d v="2024-06-08T00:00:00"/>
        <d v="2024-09-13T00:00:00"/>
        <d v="2024-10-20T00:00:00"/>
        <d v="2024-09-04T00:00:00"/>
        <d v="2024-08-20T00:00:00"/>
        <d v="2024-05-28T00:00:00"/>
        <d v="2024-01-10T00:00:00"/>
        <d v="2024-05-02T00:00:00"/>
        <d v="2024-11-26T00:00:00"/>
        <d v="2024-03-07T00:00:00"/>
        <d v="2024-01-27T00:00:00"/>
        <d v="2024-11-20T00:00:00"/>
        <d v="2024-02-06T00:00:00"/>
        <d v="2024-08-16T00:00:00"/>
        <d v="2024-05-24T00:00:00"/>
        <d v="2024-02-13T00:00:00"/>
        <d v="2024-01-02T00:00:00"/>
        <d v="2024-02-18T00:00:00"/>
        <d v="2024-12-31T00:00:00"/>
        <d v="2024-05-07T00:00:00"/>
        <d v="2024-02-23T00:00:00"/>
        <d v="2024-12-20T00:00:00"/>
        <d v="2024-02-11T00:00:00"/>
        <d v="2024-11-13T00:00:00"/>
        <d v="2024-11-01T00:00:00"/>
        <d v="2024-04-17T00:00:00"/>
        <d v="2024-12-14T00:00:00"/>
        <d v="2024-06-05T00:00:00"/>
      </sharedItems>
      <fieldGroup par="15"/>
    </cacheField>
    <cacheField name="Id Cliente" numFmtId="0">
      <sharedItems containsSemiMixedTypes="0" containsString="0" containsNumber="1" containsInteger="1" minValue="142416687" maxValue="9993785470"/>
    </cacheField>
    <cacheField name="Cliente" numFmtId="0">
      <sharedItems/>
    </cacheField>
    <cacheField name="Ciudad" numFmtId="0">
      <sharedItems/>
    </cacheField>
    <cacheField name="Departamento" numFmtId="0">
      <sharedItems count="11">
        <s v="Santander"/>
        <s v="Valle del Cauca"/>
        <s v="Quindio"/>
        <s v="Antioquia"/>
        <s v="Boyaca"/>
        <s v="Tolima"/>
        <s v="Risaralda"/>
        <s v="Bolivar"/>
        <s v="Huila"/>
        <s v="Bogota"/>
        <s v="Caldas"/>
      </sharedItems>
    </cacheField>
    <cacheField name="Vendedor" numFmtId="0">
      <sharedItems count="8">
        <s v="Lorena Camila Serrano Castro"/>
        <s v="Andrés González Rico"/>
        <s v="Patricia Liliana Vergara Rojas"/>
        <s v="German Alberto Suarez Morales"/>
        <s v="Luis Miguel Valdés Garza"/>
        <s v="Fernanda Gonzalez Bermudez"/>
        <s v="Laura Gutiérrez Saenz"/>
        <s v="Robert Zárate Carrillo"/>
      </sharedItems>
    </cacheField>
    <cacheField name="Empresa" numFmtId="0">
      <sharedItems/>
    </cacheField>
    <cacheField name="Forma de pago" numFmtId="0">
      <sharedItems count="3">
        <s v="Cheque"/>
        <s v="Tarjeta de crédito"/>
        <s v="Efectivo"/>
      </sharedItems>
    </cacheField>
    <cacheField name="Producto" numFmtId="0">
      <sharedItems/>
    </cacheField>
    <cacheField name="Categoría" numFmtId="0">
      <sharedItems count="14">
        <s v="Bebidas"/>
        <s v="Frutas secas"/>
        <s v="Productos horneados"/>
        <s v="Dulces"/>
        <s v="Sopas"/>
        <s v="Salsas"/>
        <s v="Mermeladas y jaleas"/>
        <s v="Condimentos"/>
        <s v="Carne enlatada"/>
        <s v="Pasta"/>
        <s v="Productos lácteos"/>
        <s v="Frutas y vegetales"/>
        <s v="Aceite"/>
        <s v="Granos"/>
      </sharedItems>
    </cacheField>
    <cacheField name="Precio" numFmtId="0">
      <sharedItems containsSemiMixedTypes="0" containsString="0" containsNumber="1" minValue="11" maxValue="1134"/>
    </cacheField>
    <cacheField name="Cantidad" numFmtId="0">
      <sharedItems containsSemiMixedTypes="0" containsString="0" containsNumber="1" containsInteger="1" minValue="1" maxValue="100"/>
    </cacheField>
    <cacheField name="Ventas" numFmtId="0">
      <sharedItems containsSemiMixedTypes="0" containsString="0" containsNumber="1" minValue="34" maxValue="111132" count="323">
        <n v="140"/>
        <n v="34"/>
        <n v="798"/>
        <n v="1152"/>
        <n v="816"/>
        <n v="638"/>
        <n v="1722"/>
        <n v="198"/>
        <n v="2117"/>
        <n v="948"/>
        <n v="1036"/>
        <n v="2112"/>
        <n v="2016"/>
        <n v="3956"/>
        <n v="3936"/>
        <n v="4490"/>
        <n v="1690"/>
        <n v="3520"/>
        <n v="720"/>
        <n v="3360"/>
        <n v="1000"/>
        <n v="3750"/>
        <n v="84"/>
        <n v="774"/>
        <n v="1274"/>
        <n v="819"/>
        <n v="264"/>
        <n v="3772"/>
        <n v="2400"/>
        <n v="102"/>
        <n v="792"/>
        <n v="1071"/>
        <n v="6580"/>
        <n v="2401"/>
        <n v="40320"/>
        <n v="3348.8"/>
        <n v="20608"/>
        <n v="3647.7"/>
        <n v="12673.5"/>
        <n v="2320.5"/>
        <n v="30184"/>
        <n v="7350"/>
        <n v="14196"/>
        <n v="11872"/>
        <n v="51072"/>
        <n v="3139.5"/>
        <n v="15015"/>
        <n v="5359.1999999999989"/>
        <n v="10388"/>
        <n v="47600"/>
        <n v="12493.6"/>
        <n v="6440"/>
        <n v="28993.3"/>
        <n v="13104.7"/>
        <n v="16744"/>
        <n v="14112"/>
        <n v="2856"/>
        <n v="87318"/>
        <n v="3626"/>
        <n v="30693.599999999991"/>
        <n v="6720"/>
        <n v="39760"/>
        <n v="7700"/>
        <n v="1029"/>
        <n v="37520"/>
        <n v="19320"/>
        <n v="10948"/>
        <n v="2352"/>
        <n v="18648"/>
        <n v="61824"/>
        <n v="1545.6"/>
        <n v="7985.5999999999995"/>
        <n v="6247.5"/>
        <n v="12834.5"/>
        <n v="9520"/>
        <n v="14815.5"/>
        <n v="3683.68"/>
        <n v="38090"/>
        <n v="9450"/>
        <n v="11396"/>
        <n v="9659.9999999999982"/>
        <n v="3479"/>
        <n v="13860"/>
        <n v="2661"/>
        <n v="5809.3"/>
        <n v="35280"/>
        <n v="23184"/>
        <n v="7318.5"/>
        <n v="1465.1"/>
        <n v="19964"/>
        <n v="18200"/>
        <n v="9240"/>
        <n v="5280.7999999999993"/>
        <n v="2156"/>
        <n v="3223.22"/>
        <n v="7308"/>
        <n v="49588"/>
        <n v="3055.78"/>
        <n v="9997.4"/>
        <n v="6439.9999999999991"/>
        <n v="22386"/>
        <n v="18026.400000000001"/>
        <n v="16464"/>
        <n v="40880"/>
        <n v="6568.7999999999993"/>
        <n v="10760.4"/>
        <n v="11753.7"/>
        <n v="16486.400000000001"/>
        <n v="4116"/>
        <n v="3391.5"/>
        <n v="26082"/>
        <n v="7056"/>
        <n v="10718.4"/>
        <n v="11480"/>
        <n v="54880"/>
        <n v="45724"/>
        <n v="14000"/>
        <n v="24640"/>
        <n v="4894.3999999999996"/>
        <n v="1372"/>
        <n v="2511.6"/>
        <n v="8316"/>
        <n v="14168"/>
        <n v="2134.86"/>
        <n v="8106"/>
        <n v="25244.799999999999"/>
        <n v="7371"/>
        <n v="42873.599999999991"/>
        <n v="12740"/>
        <n v="21280"/>
        <n v="10304"/>
        <n v="6860"/>
        <n v="26901"/>
        <n v="10046.4"/>
        <n v="15484"/>
        <n v="7854"/>
        <n v="111132"/>
        <n v="5978"/>
        <n v="14616"/>
        <n v="15680"/>
        <n v="10360"/>
        <n v="4410"/>
        <n v="15120"/>
        <n v="18289.599999999999"/>
        <n v="47656"/>
        <n v="10267.6"/>
        <n v="17136"/>
        <n v="16422"/>
        <n v="28644"/>
        <n v="6300"/>
        <n v="53508"/>
        <n v="19438"/>
        <n v="45220"/>
        <n v="3390.66"/>
        <n v="4458.3"/>
        <n v="12107.2"/>
        <n v="16653"/>
        <n v="13154.4"/>
        <n v="50960"/>
        <n v="4636.7999999999993"/>
        <n v="4760"/>
        <n v="24210.9"/>
        <n v="3377.5"/>
        <n v="3091.2"/>
        <n v="4508"/>
        <n v="13566"/>
        <n v="62370"/>
        <n v="1862"/>
        <n v="5600"/>
        <n v="11200"/>
        <n v="1323"/>
        <n v="54320"/>
        <n v="10819.2"/>
        <n v="15456"/>
        <n v="12159"/>
        <n v="4998"/>
        <n v="18032"/>
        <n v="10174.5"/>
        <n v="962.78"/>
        <n v="55384"/>
        <n v="16450"/>
        <n v="29876"/>
        <n v="12364.8"/>
        <n v="1519"/>
        <n v="2176.7199999999998"/>
        <n v="22932"/>
        <n v="9016"/>
        <n v="1841.84"/>
        <n v="18018"/>
        <n v="15590.4"/>
        <n v="10192"/>
        <n v="43680"/>
        <n v="6955.1999999999989"/>
        <n v="17934"/>
        <n v="2566.9"/>
        <n v="17001.599999999999"/>
        <n v="8232"/>
        <n v="12852"/>
        <n v="36288"/>
        <n v="7448"/>
        <n v="10690.4"/>
        <n v="4459"/>
        <n v="2679.04"/>
        <n v="62468"/>
        <n v="586.04"/>
        <n v="9186.7999999999993"/>
        <n v="8243.1999999999989"/>
        <n v="13104"/>
        <n v="27770.400000000001"/>
        <n v="13132"/>
        <n v="26880"/>
        <n v="9917.5999999999985"/>
        <n v="13223"/>
        <n v="16140.6"/>
        <n v="9800"/>
        <n v="61236"/>
        <n v="3822"/>
        <n v="9940"/>
        <n v="49280"/>
        <n v="8260"/>
        <n v="52640"/>
        <n v="10888.5"/>
        <n v="1339.52"/>
        <n v="39928"/>
        <n v="21000"/>
        <n v="15708"/>
        <n v="6311.1999999999989"/>
        <n v="980"/>
        <n v="2051.14"/>
        <n v="5544"/>
        <n v="47012"/>
        <n v="3558.1"/>
        <n v="5944.4"/>
        <n v="6182.4"/>
        <n v="17472"/>
        <n v="34103.999999999993"/>
        <n v="19240"/>
        <n v="12880"/>
        <n v="12600"/>
        <n v="14646.1"/>
        <n v="9592.1"/>
        <n v="2576"/>
        <n v="15288"/>
        <n v="92988"/>
        <n v="2842"/>
        <n v="45309.599999999991"/>
        <n v="1540"/>
        <n v="1680"/>
        <n v="33600"/>
        <n v="5924.7999999999993"/>
        <n v="21896"/>
        <n v="12023.9"/>
        <n v="14637"/>
        <n v="7675.5"/>
        <n v="29568"/>
        <n v="4379.2"/>
        <n v="2171"/>
        <n v="4186"/>
        <n v="10584"/>
        <n v="920.92"/>
        <n v="6214.5999999999995"/>
        <n v="25760"/>
        <n v="23751"/>
        <n v="28257.599999999991"/>
        <n v="16660"/>
        <n v="2447.1999999999998"/>
        <n v="20624.099999999999"/>
        <n v="4998.7"/>
        <n v="2677.5"/>
        <n v="58968"/>
        <n v="11692.8"/>
        <n v="5040"/>
        <n v="13440"/>
        <n v="2800"/>
        <n v="539"/>
        <n v="19577.599999999999"/>
        <n v="36708"/>
        <n v="1891.4"/>
        <n v="2744"/>
        <n v="3430"/>
        <n v="42000"/>
        <n v="20034"/>
        <n v="14364"/>
        <n v="53452"/>
        <n v="9788.7999999999993"/>
        <n v="8389.5"/>
        <n v="12969.6"/>
        <n v="17920"/>
        <n v="1716.26"/>
        <n v="26404"/>
        <n v="32900"/>
        <n v="6160"/>
        <n v="1674.4"/>
        <n v="2218.58"/>
        <n v="24948"/>
        <n v="57316"/>
        <n v="13239.8"/>
        <n v="22153.599999999999"/>
        <n v="5460"/>
        <n v="33616.800000000003"/>
        <n v="13328"/>
        <n v="29120"/>
        <n v="5151.9999999999991"/>
        <n v="26303.200000000001"/>
        <n v="23956.799999999999"/>
        <n v="18816"/>
        <n v="2142"/>
        <n v="43092"/>
        <n v="48719.999999999993"/>
        <n v="12460"/>
        <n v="13580"/>
        <n v="2597"/>
        <n v="34160"/>
        <n v="11592"/>
        <n v="27692"/>
        <n v="2431.8000000000002"/>
        <n v="20020"/>
        <n v="4550"/>
        <n v="29484"/>
        <n v="25228"/>
        <n v="31388"/>
        <n v="1004.64"/>
        <n v="4365"/>
      </sharedItems>
      <fieldGroup base="13">
        <rangePr autoStart="0" autoEnd="0" startNum="0" endNum="120000" groupInterval="20000"/>
        <groupItems count="8">
          <s v="&lt;0"/>
          <s v="0-20000"/>
          <s v="20000-40000"/>
          <s v="40000-60000"/>
          <s v="60000-80000"/>
          <s v="80000-100000"/>
          <s v="100000-120000"/>
          <s v="&gt;120000"/>
        </groupItems>
      </fieldGroup>
    </cacheField>
    <cacheField name="Días (Fecha)" numFmtId="0" databaseField="0">
      <fieldGroup base="1">
        <rangePr groupBy="days" startDate="2024-01-01T00:00:00" endDate="2025-01-01T00:00:00"/>
        <groupItems count="368">
          <s v="&lt;1/01/2024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1/2025"/>
        </groupItems>
      </fieldGroup>
    </cacheField>
    <cacheField name="Meses (Fecha)" numFmtId="0" databaseField="0">
      <fieldGroup base="1">
        <rangePr groupBy="months" startDate="2024-01-01T00:00:00" endDate="2025-01-01T00:00:00"/>
        <groupItems count="14">
          <s v="&lt;1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1/2025"/>
        </groupItems>
      </fieldGroup>
    </cacheField>
  </cacheFields>
  <extLst>
    <ext xmlns:x14="http://schemas.microsoft.com/office/spreadsheetml/2009/9/main" uri="{725AE2AE-9491-48be-B2B4-4EB974FC3084}">
      <x14:pivotCacheDefinition pivotCacheId="204927339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1">
  <r>
    <n v="1"/>
    <x v="0"/>
    <n v="9259377217"/>
    <s v="Empresa AA"/>
    <s v="Bucaramanga"/>
    <x v="0"/>
    <x v="0"/>
    <s v="Distribuidora Salento"/>
    <x v="0"/>
    <s v="Cerveza"/>
    <x v="0"/>
    <n v="14"/>
    <n v="10"/>
    <x v="0"/>
  </r>
  <r>
    <n v="2"/>
    <x v="1"/>
    <n v="6185253419"/>
    <s v="Empresa AA"/>
    <s v="Bucaramanga"/>
    <x v="0"/>
    <x v="0"/>
    <s v="Distribuidora Salento"/>
    <x v="0"/>
    <s v="Ciruelas secas"/>
    <x v="1"/>
    <n v="34"/>
    <n v="1"/>
    <x v="1"/>
  </r>
  <r>
    <n v="3"/>
    <x v="2"/>
    <n v="2308885942"/>
    <s v="Empresa D"/>
    <s v="Cali"/>
    <x v="1"/>
    <x v="1"/>
    <s v="Comercializadora el Centro"/>
    <x v="1"/>
    <s v="Peras secas"/>
    <x v="1"/>
    <n v="14"/>
    <n v="57"/>
    <x v="2"/>
  </r>
  <r>
    <n v="4"/>
    <x v="3"/>
    <n v="6199717898"/>
    <s v="Empresa D"/>
    <s v="Cali"/>
    <x v="1"/>
    <x v="1"/>
    <s v="Comercializadora el Centro"/>
    <x v="1"/>
    <s v="Manzanas secas"/>
    <x v="1"/>
    <n v="16"/>
    <n v="72"/>
    <x v="3"/>
  </r>
  <r>
    <n v="5"/>
    <x v="4"/>
    <n v="5540683029"/>
    <s v="Empresa D"/>
    <s v="Cali"/>
    <x v="1"/>
    <x v="1"/>
    <s v="Comercializadora el Centro"/>
    <x v="1"/>
    <s v="Ciruelas secas"/>
    <x v="1"/>
    <n v="12"/>
    <n v="68"/>
    <x v="4"/>
  </r>
  <r>
    <n v="6"/>
    <x v="5"/>
    <n v="6343955045"/>
    <s v="Empresa L"/>
    <s v="Bucaramanga"/>
    <x v="0"/>
    <x v="0"/>
    <s v="Distribuidora Salento"/>
    <x v="1"/>
    <s v="Aromatica"/>
    <x v="0"/>
    <n v="22"/>
    <n v="29"/>
    <x v="5"/>
  </r>
  <r>
    <n v="7"/>
    <x v="6"/>
    <n v="1572125717"/>
    <s v="Empresa L"/>
    <s v="Bucaramanga"/>
    <x v="0"/>
    <x v="0"/>
    <s v="Distribuidora Salento"/>
    <x v="1"/>
    <s v="Café"/>
    <x v="0"/>
    <n v="42"/>
    <n v="41"/>
    <x v="6"/>
  </r>
  <r>
    <n v="8"/>
    <x v="7"/>
    <n v="3776895536"/>
    <s v="Empresa H"/>
    <s v="Armenia"/>
    <x v="2"/>
    <x v="2"/>
    <s v="Distribuciones el Sol"/>
    <x v="1"/>
    <s v="Galletas de chocolate"/>
    <x v="2"/>
    <n v="11"/>
    <n v="18"/>
    <x v="7"/>
  </r>
  <r>
    <n v="9"/>
    <x v="8"/>
    <n v="390733860"/>
    <s v="Empresa D"/>
    <s v="Cali"/>
    <x v="1"/>
    <x v="1"/>
    <s v="Distribuciones el Sol"/>
    <x v="0"/>
    <s v="Galletas de chocolate"/>
    <x v="2"/>
    <n v="29"/>
    <n v="73"/>
    <x v="8"/>
  </r>
  <r>
    <n v="10"/>
    <x v="7"/>
    <n v="2456709195"/>
    <s v="Empresa CC"/>
    <s v="Medellin"/>
    <x v="3"/>
    <x v="3"/>
    <s v="Distribuidora Salento"/>
    <x v="0"/>
    <s v="Chocolate"/>
    <x v="3"/>
    <n v="12"/>
    <n v="79"/>
    <x v="9"/>
  </r>
  <r>
    <n v="11"/>
    <x v="9"/>
    <n v="5766090086"/>
    <s v="Empresa C"/>
    <s v="Tunja"/>
    <x v="4"/>
    <x v="0"/>
    <s v="Distribuidora Salento"/>
    <x v="2"/>
    <s v="Camarones"/>
    <x v="4"/>
    <n v="28"/>
    <n v="37"/>
    <x v="10"/>
  </r>
  <r>
    <n v="12"/>
    <x v="10"/>
    <n v="4872781256"/>
    <s v="Empresa F"/>
    <s v="Ibague"/>
    <x v="5"/>
    <x v="4"/>
    <s v="Distribuidora Salento"/>
    <x v="1"/>
    <s v="Salsa BBQ"/>
    <x v="5"/>
    <n v="33"/>
    <n v="64"/>
    <x v="11"/>
  </r>
  <r>
    <n v="13"/>
    <x v="11"/>
    <n v="4213140599"/>
    <s v="Empresa BB"/>
    <s v="Pereira"/>
    <x v="6"/>
    <x v="5"/>
    <s v="Distribuciones el Sol"/>
    <x v="0"/>
    <s v="Café"/>
    <x v="0"/>
    <n v="21"/>
    <n v="96"/>
    <x v="12"/>
  </r>
  <r>
    <n v="14"/>
    <x v="12"/>
    <n v="9433063552"/>
    <s v="Empresa H"/>
    <s v="Armenia"/>
    <x v="2"/>
    <x v="2"/>
    <s v="Distribuciones el Sol"/>
    <x v="0"/>
    <s v="Chocolate"/>
    <x v="3"/>
    <n v="46"/>
    <n v="86"/>
    <x v="13"/>
  </r>
  <r>
    <n v="15"/>
    <x v="13"/>
    <n v="8539365209"/>
    <s v="Empresa J"/>
    <s v="Cartagena"/>
    <x v="7"/>
    <x v="6"/>
    <s v="Distribuidora Salento"/>
    <x v="1"/>
    <s v="Té verde"/>
    <x v="0"/>
    <n v="41"/>
    <n v="96"/>
    <x v="14"/>
  </r>
  <r>
    <n v="16"/>
    <x v="14"/>
    <n v="6983099686"/>
    <s v="Empresa G"/>
    <s v="Neiva"/>
    <x v="8"/>
    <x v="2"/>
    <s v="Distribuidora Salento"/>
    <x v="2"/>
    <s v="Café"/>
    <x v="0"/>
    <n v="45"/>
    <n v="97"/>
    <x v="15"/>
  </r>
  <r>
    <n v="17"/>
    <x v="15"/>
    <n v="3008945605"/>
    <s v="Empresa J"/>
    <s v="Cartagena"/>
    <x v="7"/>
    <x v="6"/>
    <s v="Comercializadora el Centro"/>
    <x v="2"/>
    <s v="Jalea de fresa"/>
    <x v="6"/>
    <n v="26"/>
    <n v="65"/>
    <x v="16"/>
  </r>
  <r>
    <n v="18"/>
    <x v="16"/>
    <n v="5388305959"/>
    <s v="Empresa J"/>
    <s v="Cartagena"/>
    <x v="7"/>
    <x v="6"/>
    <s v="Comercializadora el Centro"/>
    <x v="0"/>
    <s v="Trisalsina"/>
    <x v="7"/>
    <n v="40"/>
    <n v="88"/>
    <x v="17"/>
  </r>
  <r>
    <n v="19"/>
    <x v="17"/>
    <n v="438272084"/>
    <s v="Empresa J"/>
    <s v="Cartagena"/>
    <x v="7"/>
    <x v="6"/>
    <s v="Comercializadora el Centro"/>
    <x v="0"/>
    <s v="Galletas de chocolate"/>
    <x v="2"/>
    <n v="12"/>
    <n v="60"/>
    <x v="18"/>
  </r>
  <r>
    <n v="20"/>
    <x v="18"/>
    <n v="2536792311"/>
    <s v="Empresa K"/>
    <s v="Bogota"/>
    <x v="9"/>
    <x v="5"/>
    <s v="Distribuciones el Sol"/>
    <x v="1"/>
    <s v="Ciruelas secas"/>
    <x v="1"/>
    <n v="35"/>
    <n v="96"/>
    <x v="19"/>
  </r>
  <r>
    <n v="21"/>
    <x v="19"/>
    <n v="7813757711"/>
    <s v="Empresa K"/>
    <s v="Bogota"/>
    <x v="9"/>
    <x v="5"/>
    <s v="Distribuciones el Sol"/>
    <x v="1"/>
    <s v="Té verde"/>
    <x v="0"/>
    <n v="20"/>
    <n v="50"/>
    <x v="20"/>
  </r>
  <r>
    <n v="22"/>
    <x v="20"/>
    <n v="4786931679"/>
    <s v="Empresa A"/>
    <s v="Manizales"/>
    <x v="10"/>
    <x v="2"/>
    <s v="Distribuidora Salento"/>
    <x v="2"/>
    <s v="Aromatica"/>
    <x v="0"/>
    <n v="50"/>
    <n v="75"/>
    <x v="21"/>
  </r>
  <r>
    <n v="23"/>
    <x v="21"/>
    <n v="3021659728"/>
    <s v="Empresa A"/>
    <s v="Manizales"/>
    <x v="10"/>
    <x v="2"/>
    <s v="Distribuidora Salento"/>
    <x v="1"/>
    <s v="Café"/>
    <x v="0"/>
    <n v="21"/>
    <n v="4"/>
    <x v="22"/>
  </r>
  <r>
    <n v="24"/>
    <x v="22"/>
    <n v="2591950684"/>
    <s v="Empresa A"/>
    <s v="Manizales"/>
    <x v="10"/>
    <x v="2"/>
    <s v="Distribuciones el Sol"/>
    <x v="0"/>
    <s v="Té verde"/>
    <x v="0"/>
    <n v="43"/>
    <n v="18"/>
    <x v="23"/>
  </r>
  <r>
    <n v="25"/>
    <x v="23"/>
    <n v="9326361454"/>
    <s v="Empresa BB"/>
    <s v="Pereira"/>
    <x v="6"/>
    <x v="5"/>
    <s v="Distribuciones el Sol"/>
    <x v="1"/>
    <s v="Camarones"/>
    <x v="4"/>
    <n v="26"/>
    <n v="49"/>
    <x v="24"/>
  </r>
  <r>
    <n v="26"/>
    <x v="24"/>
    <n v="3769138349"/>
    <s v="Empresa BB"/>
    <s v="Pereira"/>
    <x v="6"/>
    <x v="5"/>
    <s v="Distribuciones el Sol"/>
    <x v="1"/>
    <s v="Atún"/>
    <x v="8"/>
    <n v="39"/>
    <n v="21"/>
    <x v="25"/>
  </r>
  <r>
    <n v="27"/>
    <x v="2"/>
    <n v="5871657714"/>
    <s v="Empresa I"/>
    <s v="Medellin"/>
    <x v="3"/>
    <x v="7"/>
    <s v="Comercializadora el Centro"/>
    <x v="0"/>
    <s v="Ravioli"/>
    <x v="9"/>
    <n v="33"/>
    <n v="8"/>
    <x v="26"/>
  </r>
  <r>
    <n v="28"/>
    <x v="25"/>
    <n v="1534553307"/>
    <s v="Empresa I"/>
    <s v="Medellin"/>
    <x v="3"/>
    <x v="7"/>
    <s v="Comercializadora el Centro"/>
    <x v="0"/>
    <s v="Mozzarella"/>
    <x v="10"/>
    <n v="46"/>
    <n v="82"/>
    <x v="27"/>
  </r>
  <r>
    <n v="29"/>
    <x v="26"/>
    <n v="8474620707"/>
    <s v="Empresa F"/>
    <s v="Ibague"/>
    <x v="5"/>
    <x v="4"/>
    <s v="Distribuidora Salento"/>
    <x v="1"/>
    <s v="Cerveza"/>
    <x v="0"/>
    <n v="32"/>
    <n v="75"/>
    <x v="28"/>
  </r>
  <r>
    <n v="30"/>
    <x v="27"/>
    <n v="3530767380"/>
    <s v="Empresa H"/>
    <s v="Armenia"/>
    <x v="2"/>
    <x v="2"/>
    <s v="Distribuidora Salento"/>
    <x v="0"/>
    <s v="Salsa BBQ"/>
    <x v="5"/>
    <n v="34"/>
    <n v="3"/>
    <x v="29"/>
  </r>
  <r>
    <n v="31"/>
    <x v="28"/>
    <n v="6673950624"/>
    <s v="Empresa C"/>
    <s v="Tunja"/>
    <x v="4"/>
    <x v="0"/>
    <s v="Distribuidora Salento"/>
    <x v="2"/>
    <s v="Jarabe"/>
    <x v="7"/>
    <n v="24"/>
    <n v="33"/>
    <x v="30"/>
  </r>
  <r>
    <n v="32"/>
    <x v="29"/>
    <n v="7137547321"/>
    <s v="Empresa C"/>
    <s v="Tunja"/>
    <x v="4"/>
    <x v="0"/>
    <s v="Distribuidora Salento"/>
    <x v="2"/>
    <s v="Salsa BBQ"/>
    <x v="5"/>
    <n v="21"/>
    <n v="51"/>
    <x v="31"/>
  </r>
  <r>
    <n v="36"/>
    <x v="30"/>
    <n v="9282360094"/>
    <s v="Empresa J"/>
    <s v="Cartagena"/>
    <x v="7"/>
    <x v="6"/>
    <s v="Distribuidora Salento"/>
    <x v="1"/>
    <s v="Almendras"/>
    <x v="1"/>
    <n v="140"/>
    <n v="47"/>
    <x v="32"/>
  </r>
  <r>
    <n v="37"/>
    <x v="31"/>
    <n v="6935804403"/>
    <s v="Empresa J"/>
    <s v="Cartagena"/>
    <x v="7"/>
    <x v="6"/>
    <s v="Comercializadora el Centro"/>
    <x v="1"/>
    <s v="Ciruelas secas"/>
    <x v="1"/>
    <n v="49"/>
    <n v="49"/>
    <x v="33"/>
  </r>
  <r>
    <n v="38"/>
    <x v="32"/>
    <n v="3650322132"/>
    <s v="Empresa K"/>
    <s v="Bogota"/>
    <x v="9"/>
    <x v="5"/>
    <s v="Distribuciones el Sol"/>
    <x v="2"/>
    <s v="Salsa BBQ"/>
    <x v="5"/>
    <n v="560"/>
    <n v="72"/>
    <x v="34"/>
  </r>
  <r>
    <n v="39"/>
    <x v="25"/>
    <n v="1985754250"/>
    <s v="Empresa A"/>
    <s v="Manizales"/>
    <x v="10"/>
    <x v="2"/>
    <s v="Distribuciones el Sol"/>
    <x v="2"/>
    <s v="Atún"/>
    <x v="8"/>
    <n v="257.60000000000002"/>
    <n v="13"/>
    <x v="35"/>
  </r>
  <r>
    <n v="40"/>
    <x v="33"/>
    <n v="7293507918"/>
    <s v="Empresa BB"/>
    <s v="Pereira"/>
    <x v="6"/>
    <x v="5"/>
    <s v="Distribuciones el Sol"/>
    <x v="1"/>
    <s v="Café"/>
    <x v="0"/>
    <n v="644"/>
    <n v="32"/>
    <x v="36"/>
  </r>
  <r>
    <n v="41"/>
    <x v="34"/>
    <n v="3459323228"/>
    <s v="Empresa I"/>
    <s v="Medellin"/>
    <x v="3"/>
    <x v="7"/>
    <s v="Comercializadora el Centro"/>
    <x v="0"/>
    <s v="Camarones"/>
    <x v="4"/>
    <n v="135.1"/>
    <n v="27"/>
    <x v="37"/>
  </r>
  <r>
    <n v="42"/>
    <x v="9"/>
    <n v="1144627655"/>
    <s v="Empresa F"/>
    <s v="Ibague"/>
    <x v="5"/>
    <x v="4"/>
    <s v="Distribuidora Salento"/>
    <x v="1"/>
    <s v="Chocolate"/>
    <x v="3"/>
    <n v="178.5"/>
    <n v="71"/>
    <x v="38"/>
  </r>
  <r>
    <n v="43"/>
    <x v="35"/>
    <n v="3986713828"/>
    <s v="Empresa H"/>
    <s v="Armenia"/>
    <x v="2"/>
    <x v="2"/>
    <s v="Distribuidora Salento"/>
    <x v="0"/>
    <s v="Chocolate"/>
    <x v="3"/>
    <n v="178.5"/>
    <n v="13"/>
    <x v="39"/>
  </r>
  <r>
    <n v="44"/>
    <x v="36"/>
    <n v="9350633665"/>
    <s v="Empresa Y"/>
    <s v="Cartagena"/>
    <x v="7"/>
    <x v="6"/>
    <s v="Comercializadora el Centro"/>
    <x v="2"/>
    <s v="Trisalsina"/>
    <x v="7"/>
    <n v="308"/>
    <n v="98"/>
    <x v="40"/>
  </r>
  <r>
    <n v="45"/>
    <x v="37"/>
    <n v="4918639925"/>
    <s v="Empresa Z"/>
    <s v="Bogota"/>
    <x v="9"/>
    <x v="5"/>
    <s v="Distribuciones el Sol"/>
    <x v="1"/>
    <s v="Jalea de fresa"/>
    <x v="6"/>
    <n v="350"/>
    <n v="21"/>
    <x v="41"/>
  </r>
  <r>
    <n v="46"/>
    <x v="38"/>
    <n v="9630006862"/>
    <s v="Empresa CC"/>
    <s v="Medellin"/>
    <x v="3"/>
    <x v="3"/>
    <s v="Distribuidora Salento"/>
    <x v="0"/>
    <s v="Cóctel de frutas"/>
    <x v="11"/>
    <n v="546"/>
    <n v="26"/>
    <x v="42"/>
  </r>
  <r>
    <n v="47"/>
    <x v="39"/>
    <n v="9029002933"/>
    <s v="Empresa F"/>
    <s v="Ibague"/>
    <x v="5"/>
    <x v="4"/>
    <s v="Distribuciones el Sol"/>
    <x v="0"/>
    <s v="Peras secas"/>
    <x v="1"/>
    <n v="420"/>
    <n v="96"/>
    <x v="34"/>
  </r>
  <r>
    <n v="48"/>
    <x v="40"/>
    <n v="5702300844"/>
    <s v="Empresa F"/>
    <s v="Ibague"/>
    <x v="5"/>
    <x v="4"/>
    <s v="Distribuciones el Sol"/>
    <x v="0"/>
    <s v="Manzanas secas"/>
    <x v="1"/>
    <n v="742"/>
    <n v="16"/>
    <x v="43"/>
  </r>
  <r>
    <n v="49"/>
    <x v="41"/>
    <n v="6885713027"/>
    <s v="Empresa D"/>
    <s v="Cali"/>
    <x v="1"/>
    <x v="1"/>
    <s v="Comercializadora el Centro"/>
    <x v="2"/>
    <s v="Pasta penne"/>
    <x v="9"/>
    <n v="532"/>
    <n v="96"/>
    <x v="44"/>
  </r>
  <r>
    <n v="50"/>
    <x v="12"/>
    <n v="5156178317"/>
    <s v="Empresa C"/>
    <s v="Tunja"/>
    <x v="4"/>
    <x v="0"/>
    <s v="Distribuciones el Sol"/>
    <x v="1"/>
    <s v="Té verde"/>
    <x v="0"/>
    <n v="41.86"/>
    <n v="75"/>
    <x v="45"/>
  </r>
  <r>
    <n v="51"/>
    <x v="42"/>
    <n v="9993785470"/>
    <s v="Empresa I"/>
    <s v="Medellin"/>
    <x v="3"/>
    <x v="7"/>
    <s v="Comercializadora el Centro"/>
    <x v="0"/>
    <s v="Ravioli"/>
    <x v="9"/>
    <n v="273"/>
    <n v="55"/>
    <x v="46"/>
  </r>
  <r>
    <n v="52"/>
    <x v="43"/>
    <n v="2344903076"/>
    <s v="Empresa I"/>
    <s v="Medellin"/>
    <x v="3"/>
    <x v="7"/>
    <s v="Comercializadora el Centro"/>
    <x v="0"/>
    <s v="Mozzarella"/>
    <x v="10"/>
    <n v="487.19999999999987"/>
    <n v="11"/>
    <x v="47"/>
  </r>
  <r>
    <n v="53"/>
    <x v="44"/>
    <n v="5773601950"/>
    <s v="Empresa F"/>
    <s v="Ibague"/>
    <x v="5"/>
    <x v="4"/>
    <s v="Distribuidora Salento"/>
    <x v="1"/>
    <s v="Cerveza"/>
    <x v="0"/>
    <n v="196"/>
    <n v="53"/>
    <x v="48"/>
  </r>
  <r>
    <n v="54"/>
    <x v="45"/>
    <n v="4818078168"/>
    <s v="Empresa H"/>
    <s v="Armenia"/>
    <x v="2"/>
    <x v="2"/>
    <s v="Distribuidora Salento"/>
    <x v="0"/>
    <s v="Salsa BBQ"/>
    <x v="5"/>
    <n v="560"/>
    <n v="85"/>
    <x v="49"/>
  </r>
  <r>
    <n v="55"/>
    <x v="46"/>
    <n v="9107195581"/>
    <s v="Empresa H"/>
    <s v="Armenia"/>
    <x v="2"/>
    <x v="2"/>
    <s v="Distribuidora Salento"/>
    <x v="0"/>
    <s v="Galletas de chocolate"/>
    <x v="2"/>
    <n v="128.80000000000001"/>
    <n v="97"/>
    <x v="50"/>
  </r>
  <r>
    <n v="56"/>
    <x v="47"/>
    <n v="5806733138"/>
    <s v="Empresa Y"/>
    <s v="Cartagena"/>
    <x v="7"/>
    <x v="6"/>
    <s v="Comercializadora el Centro"/>
    <x v="2"/>
    <s v="Pan Seda"/>
    <x v="2"/>
    <n v="140"/>
    <n v="46"/>
    <x v="51"/>
  </r>
  <r>
    <n v="57"/>
    <x v="48"/>
    <n v="3059258597"/>
    <s v="Empresa Z"/>
    <s v="Bogota"/>
    <x v="9"/>
    <x v="5"/>
    <s v="Distribuciones el Sol"/>
    <x v="1"/>
    <s v="Aceite de oliva"/>
    <x v="12"/>
    <n v="298.89999999999998"/>
    <n v="97"/>
    <x v="52"/>
  </r>
  <r>
    <n v="58"/>
    <x v="49"/>
    <n v="586395005"/>
    <s v="Empresa Z"/>
    <s v="Bogota"/>
    <x v="9"/>
    <x v="5"/>
    <s v="Distribuciones el Sol"/>
    <x v="1"/>
    <s v="Camarones"/>
    <x v="4"/>
    <n v="135.1"/>
    <n v="97"/>
    <x v="53"/>
  </r>
  <r>
    <n v="59"/>
    <x v="50"/>
    <n v="9281389647"/>
    <s v="Empresa Z"/>
    <s v="Bogota"/>
    <x v="9"/>
    <x v="5"/>
    <s v="Distribuciones el Sol"/>
    <x v="1"/>
    <s v="Atún"/>
    <x v="8"/>
    <n v="257.60000000000002"/>
    <n v="65"/>
    <x v="54"/>
  </r>
  <r>
    <n v="60"/>
    <x v="51"/>
    <n v="2230409971"/>
    <s v="Empresa CC"/>
    <s v="Medellin"/>
    <x v="3"/>
    <x v="3"/>
    <s v="Distribuidora Salento"/>
    <x v="0"/>
    <s v="Cerveza"/>
    <x v="0"/>
    <n v="196"/>
    <n v="72"/>
    <x v="55"/>
  </r>
  <r>
    <n v="61"/>
    <x v="31"/>
    <n v="498762200"/>
    <s v="Empresa F"/>
    <s v="Ibague"/>
    <x v="5"/>
    <x v="4"/>
    <s v="Distribuciones el Sol"/>
    <x v="0"/>
    <s v="Chocolate"/>
    <x v="3"/>
    <n v="178.5"/>
    <n v="16"/>
    <x v="56"/>
  </r>
  <r>
    <n v="62"/>
    <x v="52"/>
    <n v="5059332572"/>
    <s v="Empresa D"/>
    <s v="Cali"/>
    <x v="1"/>
    <x v="1"/>
    <s v="Comercializadora el Centro"/>
    <x v="1"/>
    <s v="Mermelada de mora"/>
    <x v="6"/>
    <n v="1134"/>
    <n v="77"/>
    <x v="57"/>
  </r>
  <r>
    <n v="63"/>
    <x v="53"/>
    <n v="807667000"/>
    <s v="Empresa D"/>
    <s v="Cali"/>
    <x v="1"/>
    <x v="1"/>
    <s v="Comercializadora el Centro"/>
    <x v="1"/>
    <s v="Arroz"/>
    <x v="13"/>
    <n v="98"/>
    <n v="37"/>
    <x v="58"/>
  </r>
  <r>
    <n v="64"/>
    <x v="54"/>
    <n v="4320869422"/>
    <s v="Empresa H"/>
    <s v="Armenia"/>
    <x v="2"/>
    <x v="2"/>
    <s v="Distribuciones el Sol"/>
    <x v="1"/>
    <s v="Mozzarella"/>
    <x v="10"/>
    <n v="487.19999999999987"/>
    <n v="63"/>
    <x v="59"/>
  </r>
  <r>
    <n v="65"/>
    <x v="55"/>
    <n v="7227542762"/>
    <s v="Empresa C"/>
    <s v="Tunja"/>
    <x v="4"/>
    <x v="0"/>
    <s v="Distribuidora Salento"/>
    <x v="2"/>
    <s v="Jarabe"/>
    <x v="7"/>
    <n v="140"/>
    <n v="48"/>
    <x v="60"/>
  </r>
  <r>
    <n v="66"/>
    <x v="56"/>
    <n v="4844854212"/>
    <s v="Empresa C"/>
    <s v="Tunja"/>
    <x v="4"/>
    <x v="0"/>
    <s v="Distribuidora Salento"/>
    <x v="2"/>
    <s v="Salsa BBQ"/>
    <x v="5"/>
    <n v="560"/>
    <n v="71"/>
    <x v="61"/>
  </r>
  <r>
    <n v="67"/>
    <x v="57"/>
    <n v="6476704094"/>
    <s v="Empresa J"/>
    <s v="Cartagena"/>
    <x v="7"/>
    <x v="6"/>
    <s v="Distribuidora Salento"/>
    <x v="1"/>
    <s v="Almendras"/>
    <x v="1"/>
    <n v="140"/>
    <n v="55"/>
    <x v="62"/>
  </r>
  <r>
    <n v="68"/>
    <x v="58"/>
    <n v="289513623"/>
    <s v="Empresa J"/>
    <s v="Cartagena"/>
    <x v="7"/>
    <x v="6"/>
    <s v="Comercializadora el Centro"/>
    <x v="0"/>
    <s v="Ciruelas secas"/>
    <x v="1"/>
    <n v="49"/>
    <n v="21"/>
    <x v="63"/>
  </r>
  <r>
    <n v="69"/>
    <x v="59"/>
    <n v="4360909288"/>
    <s v="Empresa K"/>
    <s v="Bogota"/>
    <x v="9"/>
    <x v="5"/>
    <s v="Distribuciones el Sol"/>
    <x v="0"/>
    <s v="Salsa BBQ"/>
    <x v="5"/>
    <n v="560"/>
    <n v="67"/>
    <x v="64"/>
  </r>
  <r>
    <n v="70"/>
    <x v="60"/>
    <n v="1569352924"/>
    <s v="Empresa A"/>
    <s v="Manizales"/>
    <x v="10"/>
    <x v="2"/>
    <s v="Distribuciones el Sol"/>
    <x v="2"/>
    <s v="Atún"/>
    <x v="8"/>
    <n v="257.60000000000002"/>
    <n v="75"/>
    <x v="65"/>
  </r>
  <r>
    <n v="71"/>
    <x v="61"/>
    <n v="4417023777"/>
    <s v="Empresa BB"/>
    <s v="Pereira"/>
    <x v="6"/>
    <x v="5"/>
    <s v="Distribuciones el Sol"/>
    <x v="1"/>
    <s v="Café"/>
    <x v="0"/>
    <n v="644"/>
    <n v="17"/>
    <x v="66"/>
  </r>
  <r>
    <n v="72"/>
    <x v="28"/>
    <n v="5213348963"/>
    <s v="Empresa D"/>
    <s v="Cali"/>
    <x v="1"/>
    <x v="1"/>
    <s v="Comercializadora el Centro"/>
    <x v="1"/>
    <s v="Ciruelas secas"/>
    <x v="1"/>
    <n v="49"/>
    <n v="48"/>
    <x v="67"/>
  </r>
  <r>
    <n v="73"/>
    <x v="62"/>
    <n v="6039525395"/>
    <s v="Empresa L"/>
    <s v="Bucaramanga"/>
    <x v="0"/>
    <x v="0"/>
    <s v="Distribuidora Salento"/>
    <x v="1"/>
    <s v="Aromatica"/>
    <x v="0"/>
    <n v="252"/>
    <n v="74"/>
    <x v="68"/>
  </r>
  <r>
    <n v="74"/>
    <x v="44"/>
    <n v="7564866770"/>
    <s v="Empresa L"/>
    <s v="Bucaramanga"/>
    <x v="0"/>
    <x v="0"/>
    <s v="Distribuidora Salento"/>
    <x v="1"/>
    <s v="Café"/>
    <x v="0"/>
    <n v="644"/>
    <n v="96"/>
    <x v="69"/>
  </r>
  <r>
    <n v="75"/>
    <x v="63"/>
    <n v="9161740728"/>
    <s v="Empresa H"/>
    <s v="Armenia"/>
    <x v="2"/>
    <x v="2"/>
    <s v="Distribuciones el Sol"/>
    <x v="1"/>
    <s v="Galletas de chocolate"/>
    <x v="2"/>
    <n v="128.80000000000001"/>
    <n v="12"/>
    <x v="70"/>
  </r>
  <r>
    <n v="76"/>
    <x v="64"/>
    <n v="5854661633"/>
    <s v="Empresa D"/>
    <s v="Cali"/>
    <x v="1"/>
    <x v="1"/>
    <s v="Distribuciones el Sol"/>
    <x v="0"/>
    <s v="Galletas de chocolate"/>
    <x v="2"/>
    <n v="128.80000000000001"/>
    <n v="62"/>
    <x v="71"/>
  </r>
  <r>
    <n v="77"/>
    <x v="65"/>
    <n v="9782824487"/>
    <s v="Empresa CC"/>
    <s v="Medellin"/>
    <x v="3"/>
    <x v="3"/>
    <s v="Distribuidora Salento"/>
    <x v="0"/>
    <s v="Chocolate"/>
    <x v="3"/>
    <n v="178.5"/>
    <n v="35"/>
    <x v="72"/>
  </r>
  <r>
    <n v="78"/>
    <x v="66"/>
    <n v="5368581132"/>
    <s v="Empresa C"/>
    <s v="Tunja"/>
    <x v="4"/>
    <x v="0"/>
    <s v="Distribuidora Salento"/>
    <x v="2"/>
    <s v="Camarones"/>
    <x v="4"/>
    <n v="135.1"/>
    <n v="95"/>
    <x v="73"/>
  </r>
  <r>
    <n v="79"/>
    <x v="67"/>
    <n v="1972466220"/>
    <s v="Empresa F"/>
    <s v="Ibague"/>
    <x v="5"/>
    <x v="4"/>
    <s v="Distribuidora Salento"/>
    <x v="1"/>
    <s v="Salsa BBQ"/>
    <x v="5"/>
    <n v="560"/>
    <n v="17"/>
    <x v="74"/>
  </r>
  <r>
    <n v="80"/>
    <x v="68"/>
    <n v="6835780904"/>
    <s v="Empresa BB"/>
    <s v="Pereira"/>
    <x v="6"/>
    <x v="5"/>
    <s v="Distribuciones el Sol"/>
    <x v="0"/>
    <s v="Café"/>
    <x v="0"/>
    <n v="644"/>
    <n v="96"/>
    <x v="69"/>
  </r>
  <r>
    <n v="81"/>
    <x v="69"/>
    <n v="9361876990"/>
    <s v="Empresa H"/>
    <s v="Armenia"/>
    <x v="2"/>
    <x v="2"/>
    <s v="Distribuciones el Sol"/>
    <x v="0"/>
    <s v="Chocolate"/>
    <x v="3"/>
    <n v="178.5"/>
    <n v="83"/>
    <x v="75"/>
  </r>
  <r>
    <n v="82"/>
    <x v="70"/>
    <n v="7655628230"/>
    <s v="Empresa J"/>
    <s v="Cartagena"/>
    <x v="7"/>
    <x v="6"/>
    <s v="Distribuidora Salento"/>
    <x v="1"/>
    <s v="Té verde"/>
    <x v="0"/>
    <n v="41.86"/>
    <n v="88"/>
    <x v="76"/>
  </r>
  <r>
    <n v="83"/>
    <x v="32"/>
    <n v="6770397729"/>
    <s v="Empresa G"/>
    <s v="Neiva"/>
    <x v="8"/>
    <x v="2"/>
    <s v="Distribuciones el Sol"/>
    <x v="2"/>
    <s v="Café"/>
    <x v="0"/>
    <n v="644"/>
    <n v="59"/>
    <x v="77"/>
  </r>
  <r>
    <n v="84"/>
    <x v="71"/>
    <n v="6622149015"/>
    <s v="Empresa J"/>
    <s v="Cartagena"/>
    <x v="7"/>
    <x v="6"/>
    <s v="Comercializadora el Centro"/>
    <x v="2"/>
    <s v="Jalea de fresa"/>
    <x v="6"/>
    <n v="350"/>
    <n v="27"/>
    <x v="78"/>
  </r>
  <r>
    <n v="85"/>
    <x v="72"/>
    <n v="8859429908"/>
    <s v="Empresa J"/>
    <s v="Cartagena"/>
    <x v="7"/>
    <x v="6"/>
    <s v="Comercializadora el Centro"/>
    <x v="2"/>
    <s v="Trisalsina"/>
    <x v="7"/>
    <n v="308"/>
    <n v="37"/>
    <x v="79"/>
  </r>
  <r>
    <n v="86"/>
    <x v="73"/>
    <n v="146252536"/>
    <s v="Empresa J"/>
    <s v="Cartagena"/>
    <x v="7"/>
    <x v="6"/>
    <s v="Comercializadora el Centro"/>
    <x v="0"/>
    <s v="Galletas de chocolate"/>
    <x v="2"/>
    <n v="128.80000000000001"/>
    <n v="75"/>
    <x v="80"/>
  </r>
  <r>
    <n v="87"/>
    <x v="74"/>
    <n v="9010865731"/>
    <s v="Empresa K"/>
    <s v="Bogota"/>
    <x v="9"/>
    <x v="5"/>
    <s v="Distribuciones el Sol"/>
    <x v="0"/>
    <s v="Ciruelas secas"/>
    <x v="1"/>
    <n v="49"/>
    <n v="71"/>
    <x v="81"/>
  </r>
  <r>
    <n v="88"/>
    <x v="75"/>
    <n v="9076170123"/>
    <s v="Empresa K"/>
    <s v="Bogota"/>
    <x v="9"/>
    <x v="5"/>
    <s v="Distribuciones el Sol"/>
    <x v="1"/>
    <s v="Té verde"/>
    <x v="0"/>
    <n v="41.86"/>
    <n v="88"/>
    <x v="76"/>
  </r>
  <r>
    <n v="89"/>
    <x v="76"/>
    <n v="4412491838"/>
    <s v="Empresa A"/>
    <s v="Manizales"/>
    <x v="10"/>
    <x v="2"/>
    <s v="Distribuidora Salento"/>
    <x v="1"/>
    <s v="Aromatica"/>
    <x v="0"/>
    <n v="252"/>
    <n v="55"/>
    <x v="82"/>
  </r>
  <r>
    <n v="90"/>
    <x v="47"/>
    <n v="7223227521"/>
    <s v="Sin referencia"/>
    <s v="Medellin"/>
    <x v="3"/>
    <x v="3"/>
    <s v="Distribuidora Salento"/>
    <x v="0"/>
    <s v="Chocolate"/>
    <x v="3"/>
    <n v="178.5"/>
    <n v="14"/>
    <x v="83"/>
  </r>
  <r>
    <n v="91"/>
    <x v="77"/>
    <n v="9595973394"/>
    <s v="Empresa C"/>
    <s v="Tunja"/>
    <x v="4"/>
    <x v="0"/>
    <s v="Distribuidora Salento"/>
    <x v="2"/>
    <s v="Camarones"/>
    <x v="4"/>
    <n v="135.1"/>
    <n v="43"/>
    <x v="84"/>
  </r>
  <r>
    <n v="92"/>
    <x v="78"/>
    <n v="2755531090"/>
    <s v="Empresa F"/>
    <s v="Ibague"/>
    <x v="5"/>
    <x v="4"/>
    <s v="Distribuidora Salento"/>
    <x v="1"/>
    <s v="Salsa BBQ"/>
    <x v="5"/>
    <n v="560"/>
    <n v="63"/>
    <x v="85"/>
  </r>
  <r>
    <n v="93"/>
    <x v="79"/>
    <n v="5306800000"/>
    <s v="Empresa BB"/>
    <s v="Pereira"/>
    <x v="6"/>
    <x v="5"/>
    <s v="Distribuciones el Sol"/>
    <x v="0"/>
    <s v="Café"/>
    <x v="0"/>
    <n v="644"/>
    <n v="36"/>
    <x v="86"/>
  </r>
  <r>
    <n v="94"/>
    <x v="51"/>
    <n v="6768826719"/>
    <s v="Empresa H"/>
    <s v="Armenia"/>
    <x v="2"/>
    <x v="2"/>
    <s v="Distribuciones el Sol"/>
    <x v="0"/>
    <s v="Chocolate"/>
    <x v="3"/>
    <n v="178.5"/>
    <n v="41"/>
    <x v="87"/>
  </r>
  <r>
    <n v="95"/>
    <x v="80"/>
    <n v="7945500000"/>
    <s v="Empresa J"/>
    <s v="Cartagena"/>
    <x v="7"/>
    <x v="6"/>
    <s v="Distribuidora Salento"/>
    <x v="1"/>
    <s v="Té verde"/>
    <x v="0"/>
    <n v="41.86"/>
    <n v="35"/>
    <x v="88"/>
  </r>
  <r>
    <n v="96"/>
    <x v="80"/>
    <n v="4671327569"/>
    <s v="Empresa G"/>
    <s v="Neiva"/>
    <x v="8"/>
    <x v="2"/>
    <s v="Distribuidora Salento"/>
    <x v="2"/>
    <s v="Café"/>
    <x v="0"/>
    <n v="644"/>
    <n v="31"/>
    <x v="89"/>
  </r>
  <r>
    <n v="97"/>
    <x v="81"/>
    <n v="5750783013"/>
    <s v="Empresa J"/>
    <s v="Cartagena"/>
    <x v="7"/>
    <x v="6"/>
    <s v="Comercializadora el Centro"/>
    <x v="2"/>
    <s v="Jalea de fresa"/>
    <x v="6"/>
    <n v="350"/>
    <n v="52"/>
    <x v="90"/>
  </r>
  <r>
    <n v="98"/>
    <x v="82"/>
    <n v="1216202808"/>
    <s v="Empresa J"/>
    <s v="Cartagena"/>
    <x v="7"/>
    <x v="6"/>
    <s v="Comercializadora el Centro"/>
    <x v="2"/>
    <s v="Trisalsina"/>
    <x v="7"/>
    <n v="308"/>
    <n v="30"/>
    <x v="91"/>
  </r>
  <r>
    <n v="99"/>
    <x v="83"/>
    <n v="7167041532"/>
    <s v="Empresa J"/>
    <s v="Cartagena"/>
    <x v="7"/>
    <x v="6"/>
    <s v="Comercializadora el Centro"/>
    <x v="0"/>
    <s v="Galletas de chocolate"/>
    <x v="2"/>
    <n v="128.80000000000001"/>
    <n v="41"/>
    <x v="92"/>
  </r>
  <r>
    <n v="100"/>
    <x v="84"/>
    <n v="2241191338"/>
    <s v="Empresa K"/>
    <s v="Bogota"/>
    <x v="9"/>
    <x v="5"/>
    <s v="Distribuciones el Sol"/>
    <x v="0"/>
    <s v="Ciruelas secas"/>
    <x v="1"/>
    <n v="49"/>
    <n v="44"/>
    <x v="93"/>
  </r>
  <r>
    <n v="101"/>
    <x v="85"/>
    <n v="806264266"/>
    <s v="Empresa K"/>
    <s v="Bogota"/>
    <x v="9"/>
    <x v="5"/>
    <s v="Distribuciones el Sol"/>
    <x v="0"/>
    <s v="Té verde"/>
    <x v="0"/>
    <n v="41.86"/>
    <n v="77"/>
    <x v="94"/>
  </r>
  <r>
    <n v="102"/>
    <x v="86"/>
    <n v="3820174684"/>
    <s v="Empresa A"/>
    <s v="Manizales"/>
    <x v="10"/>
    <x v="2"/>
    <s v="Comercializadora el Centro"/>
    <x v="1"/>
    <s v="Aromatica"/>
    <x v="0"/>
    <n v="252"/>
    <n v="29"/>
    <x v="95"/>
  </r>
  <r>
    <n v="103"/>
    <x v="87"/>
    <n v="5541796483"/>
    <s v="Empresa A"/>
    <s v="Manizales"/>
    <x v="10"/>
    <x v="2"/>
    <s v="Comercializadora el Centro"/>
    <x v="1"/>
    <s v="Café"/>
    <x v="0"/>
    <n v="644"/>
    <n v="77"/>
    <x v="96"/>
  </r>
  <r>
    <n v="104"/>
    <x v="88"/>
    <n v="7096714976"/>
    <s v="Empresa A"/>
    <s v="Manizales"/>
    <x v="10"/>
    <x v="2"/>
    <s v="Distribuidora Salento"/>
    <x v="1"/>
    <s v="Té verde"/>
    <x v="0"/>
    <n v="41.86"/>
    <n v="73"/>
    <x v="97"/>
  </r>
  <r>
    <n v="105"/>
    <x v="89"/>
    <n v="2543114862"/>
    <s v="Empresa BB"/>
    <s v="Pereira"/>
    <x v="6"/>
    <x v="5"/>
    <s v="Distribuciones el Sol"/>
    <x v="1"/>
    <s v="Camarones"/>
    <x v="4"/>
    <n v="135.1"/>
    <n v="74"/>
    <x v="98"/>
  </r>
  <r>
    <n v="106"/>
    <x v="35"/>
    <n v="6501127347"/>
    <s v="Empresa BB"/>
    <s v="Pereira"/>
    <x v="6"/>
    <x v="5"/>
    <s v="Distribuciones el Sol"/>
    <x v="1"/>
    <s v="Atún"/>
    <x v="8"/>
    <n v="257.60000000000002"/>
    <n v="25"/>
    <x v="99"/>
  </r>
  <r>
    <n v="107"/>
    <x v="90"/>
    <n v="1322296163"/>
    <s v="Empresa I"/>
    <s v="Medellin"/>
    <x v="3"/>
    <x v="7"/>
    <s v="Comercializadora el Centro"/>
    <x v="0"/>
    <s v="Ravioli"/>
    <x v="9"/>
    <n v="273"/>
    <n v="82"/>
    <x v="100"/>
  </r>
  <r>
    <n v="108"/>
    <x v="91"/>
    <n v="5162222472"/>
    <s v="Empresa I"/>
    <s v="Medellin"/>
    <x v="3"/>
    <x v="7"/>
    <s v="Comercializadora el Centro"/>
    <x v="0"/>
    <s v="Mozzarella"/>
    <x v="10"/>
    <n v="487.19999999999987"/>
    <n v="37"/>
    <x v="101"/>
  </r>
  <r>
    <n v="109"/>
    <x v="92"/>
    <n v="5752777715"/>
    <s v="Empresa F"/>
    <s v="Ibague"/>
    <x v="5"/>
    <x v="4"/>
    <s v="Distribuidora Salento"/>
    <x v="1"/>
    <s v="Cerveza"/>
    <x v="0"/>
    <n v="196"/>
    <n v="84"/>
    <x v="102"/>
  </r>
  <r>
    <n v="110"/>
    <x v="82"/>
    <n v="2261700341"/>
    <s v="Empresa H"/>
    <s v="Armenia"/>
    <x v="2"/>
    <x v="2"/>
    <s v="Distribuidora Salento"/>
    <x v="0"/>
    <s v="Salsa BBQ"/>
    <x v="5"/>
    <n v="560"/>
    <n v="73"/>
    <x v="103"/>
  </r>
  <r>
    <n v="111"/>
    <x v="93"/>
    <n v="9950546196"/>
    <s v="Empresa H"/>
    <s v="Armenia"/>
    <x v="2"/>
    <x v="2"/>
    <s v="Distribuidora Salento"/>
    <x v="0"/>
    <s v="Galletas de chocolate"/>
    <x v="2"/>
    <n v="128.80000000000001"/>
    <n v="51"/>
    <x v="104"/>
  </r>
  <r>
    <n v="112"/>
    <x v="94"/>
    <n v="9911266011"/>
    <s v="Empresa Y"/>
    <s v="Cartagena"/>
    <x v="7"/>
    <x v="6"/>
    <s v="Comercializadora el Centro"/>
    <x v="2"/>
    <s v="Pan Seda"/>
    <x v="2"/>
    <n v="140"/>
    <n v="66"/>
    <x v="91"/>
  </r>
  <r>
    <n v="113"/>
    <x v="95"/>
    <n v="8455987495"/>
    <s v="Empresa Z"/>
    <s v="Bogota"/>
    <x v="9"/>
    <x v="5"/>
    <s v="Distribuciones el Sol"/>
    <x v="1"/>
    <s v="Aceite de oliva"/>
    <x v="12"/>
    <n v="298.89999999999998"/>
    <n v="36"/>
    <x v="105"/>
  </r>
  <r>
    <n v="114"/>
    <x v="60"/>
    <n v="6668567210"/>
    <s v="Empresa Z"/>
    <s v="Bogota"/>
    <x v="9"/>
    <x v="5"/>
    <s v="Distribuciones el Sol"/>
    <x v="1"/>
    <s v="Camarones"/>
    <x v="4"/>
    <n v="135.1"/>
    <n v="87"/>
    <x v="106"/>
  </r>
  <r>
    <n v="115"/>
    <x v="96"/>
    <n v="9528620750"/>
    <s v="Empresa Z"/>
    <s v="Bogota"/>
    <x v="9"/>
    <x v="5"/>
    <s v="Distribuciones el Sol"/>
    <x v="1"/>
    <s v="Atún"/>
    <x v="8"/>
    <n v="257.60000000000002"/>
    <n v="64"/>
    <x v="107"/>
  </r>
  <r>
    <n v="116"/>
    <x v="97"/>
    <n v="1951835035"/>
    <s v="Empresa CC"/>
    <s v="Medellin"/>
    <x v="3"/>
    <x v="3"/>
    <s v="Distribuidora Salento"/>
    <x v="0"/>
    <s v="Cerveza"/>
    <x v="0"/>
    <n v="196"/>
    <n v="21"/>
    <x v="108"/>
  </r>
  <r>
    <n v="117"/>
    <x v="98"/>
    <n v="8464805926"/>
    <s v="Empresa F"/>
    <s v="Ibague"/>
    <x v="5"/>
    <x v="4"/>
    <s v="Distribuciones el Sol"/>
    <x v="0"/>
    <s v="Chocolate"/>
    <x v="3"/>
    <n v="178.5"/>
    <n v="19"/>
    <x v="109"/>
  </r>
  <r>
    <n v="118"/>
    <x v="99"/>
    <n v="1040241832"/>
    <s v="Empresa D"/>
    <s v="Cali"/>
    <x v="1"/>
    <x v="1"/>
    <s v="Comercializadora el Centro"/>
    <x v="1"/>
    <s v="Mermelada de mora"/>
    <x v="6"/>
    <n v="1134"/>
    <n v="23"/>
    <x v="110"/>
  </r>
  <r>
    <n v="119"/>
    <x v="100"/>
    <n v="5032769390"/>
    <s v="Empresa D"/>
    <s v="Cali"/>
    <x v="1"/>
    <x v="1"/>
    <s v="Comercializadora el Centro"/>
    <x v="1"/>
    <s v="Arroz"/>
    <x v="13"/>
    <n v="98"/>
    <n v="72"/>
    <x v="111"/>
  </r>
  <r>
    <n v="120"/>
    <x v="101"/>
    <n v="5375997402"/>
    <s v="Empresa H"/>
    <s v="Armenia"/>
    <x v="2"/>
    <x v="2"/>
    <s v="Distribuciones el Sol"/>
    <x v="1"/>
    <s v="Mozzarella"/>
    <x v="10"/>
    <n v="487.19999999999987"/>
    <n v="22"/>
    <x v="112"/>
  </r>
  <r>
    <n v="121"/>
    <x v="102"/>
    <n v="967566383"/>
    <s v="Empresa C"/>
    <s v="Tunja"/>
    <x v="4"/>
    <x v="0"/>
    <s v="Distribuidora Salento"/>
    <x v="2"/>
    <s v="Jarabe"/>
    <x v="7"/>
    <n v="140"/>
    <n v="82"/>
    <x v="113"/>
  </r>
  <r>
    <n v="122"/>
    <x v="103"/>
    <n v="7607007457"/>
    <s v="Empresa C"/>
    <s v="Tunja"/>
    <x v="4"/>
    <x v="0"/>
    <s v="Distribuidora Salento"/>
    <x v="2"/>
    <s v="Salsa BBQ"/>
    <x v="5"/>
    <n v="560"/>
    <n v="98"/>
    <x v="114"/>
  </r>
  <r>
    <n v="123"/>
    <x v="104"/>
    <n v="6139722497"/>
    <s v="Empresa G"/>
    <s v="Neiva"/>
    <x v="8"/>
    <x v="2"/>
    <s v="Distribuidora Salento"/>
    <x v="2"/>
    <s v="Café"/>
    <x v="0"/>
    <n v="644"/>
    <n v="71"/>
    <x v="115"/>
  </r>
  <r>
    <n v="124"/>
    <x v="76"/>
    <n v="6071133871"/>
    <s v="Sin referencia"/>
    <s v="Cartagena"/>
    <x v="7"/>
    <x v="6"/>
    <s v="Comercializadora el Centro"/>
    <x v="1"/>
    <s v="Jalea de fresa"/>
    <x v="6"/>
    <n v="350"/>
    <n v="40"/>
    <x v="116"/>
  </r>
  <r>
    <n v="125"/>
    <x v="105"/>
    <n v="8634772142"/>
    <s v="Empresa J"/>
    <s v="Cartagena"/>
    <x v="7"/>
    <x v="6"/>
    <s v="Comercializadora el Centro"/>
    <x v="1"/>
    <s v="Trisalsina"/>
    <x v="7"/>
    <n v="308"/>
    <n v="80"/>
    <x v="117"/>
  </r>
  <r>
    <n v="126"/>
    <x v="106"/>
    <n v="5431718510"/>
    <s v="Empresa J"/>
    <s v="Cartagena"/>
    <x v="7"/>
    <x v="6"/>
    <s v="Comercializadora el Centro"/>
    <x v="0"/>
    <s v="Galletas de chocolate"/>
    <x v="2"/>
    <n v="128.80000000000001"/>
    <n v="38"/>
    <x v="118"/>
  </r>
  <r>
    <n v="127"/>
    <x v="107"/>
    <n v="7109276915"/>
    <s v="Empresa K"/>
    <s v="Bogota"/>
    <x v="9"/>
    <x v="5"/>
    <s v="Distribuciones el Sol"/>
    <x v="0"/>
    <s v="Ciruelas secas"/>
    <x v="1"/>
    <n v="49"/>
    <n v="28"/>
    <x v="119"/>
  </r>
  <r>
    <n v="128"/>
    <x v="108"/>
    <n v="8479136081"/>
    <s v="Empresa K"/>
    <s v="Bogota"/>
    <x v="9"/>
    <x v="5"/>
    <s v="Distribuciones el Sol"/>
    <x v="0"/>
    <s v="Té verde"/>
    <x v="0"/>
    <n v="41.86"/>
    <n v="60"/>
    <x v="120"/>
  </r>
  <r>
    <n v="129"/>
    <x v="26"/>
    <n v="7132355278"/>
    <s v="Empresa A"/>
    <s v="Manizales"/>
    <x v="10"/>
    <x v="2"/>
    <s v="Distribuciones el Sol"/>
    <x v="2"/>
    <s v="Aromatica"/>
    <x v="0"/>
    <n v="252"/>
    <n v="33"/>
    <x v="121"/>
  </r>
  <r>
    <n v="130"/>
    <x v="75"/>
    <n v="2885792785"/>
    <s v="Empresa A"/>
    <s v="Manizales"/>
    <x v="10"/>
    <x v="2"/>
    <s v="Comercializadora el Centro"/>
    <x v="1"/>
    <s v="Café"/>
    <x v="0"/>
    <n v="644"/>
    <n v="22"/>
    <x v="122"/>
  </r>
  <r>
    <n v="131"/>
    <x v="109"/>
    <n v="3723941023"/>
    <s v="Empresa A"/>
    <s v="Manizales"/>
    <x v="10"/>
    <x v="2"/>
    <s v="Comercializadora el Centro"/>
    <x v="2"/>
    <s v="Té verde"/>
    <x v="0"/>
    <n v="41.86"/>
    <n v="51"/>
    <x v="123"/>
  </r>
  <r>
    <n v="132"/>
    <x v="110"/>
    <n v="4827836337"/>
    <s v="Empresa BB"/>
    <s v="Pereira"/>
    <x v="6"/>
    <x v="5"/>
    <s v="Distribuciones el Sol"/>
    <x v="1"/>
    <s v="Camarones"/>
    <x v="4"/>
    <n v="135.1"/>
    <n v="60"/>
    <x v="124"/>
  </r>
  <r>
    <n v="133"/>
    <x v="111"/>
    <n v="2633840866"/>
    <s v="Empresa BB"/>
    <s v="Pereira"/>
    <x v="6"/>
    <x v="5"/>
    <s v="Distribuciones el Sol"/>
    <x v="1"/>
    <s v="Atún"/>
    <x v="8"/>
    <n v="257.60000000000002"/>
    <n v="98"/>
    <x v="125"/>
  </r>
  <r>
    <n v="134"/>
    <x v="112"/>
    <n v="2489359003"/>
    <s v="Empresa I"/>
    <s v="Medellin"/>
    <x v="3"/>
    <x v="7"/>
    <s v="Comercializadora el Centro"/>
    <x v="0"/>
    <s v="Ravioli"/>
    <x v="9"/>
    <n v="273"/>
    <n v="27"/>
    <x v="126"/>
  </r>
  <r>
    <n v="135"/>
    <x v="113"/>
    <n v="2347277376"/>
    <s v="Empresa I"/>
    <s v="Medellin"/>
    <x v="3"/>
    <x v="7"/>
    <s v="Comercializadora el Centro"/>
    <x v="0"/>
    <s v="Mozzarella"/>
    <x v="10"/>
    <n v="487.19999999999987"/>
    <n v="88"/>
    <x v="127"/>
  </r>
  <r>
    <n v="136"/>
    <x v="114"/>
    <n v="2071690973"/>
    <s v="Empresa F"/>
    <s v="Ibague"/>
    <x v="5"/>
    <x v="4"/>
    <s v="Distribuidora Salento"/>
    <x v="1"/>
    <s v="Cerveza"/>
    <x v="0"/>
    <n v="196"/>
    <n v="65"/>
    <x v="128"/>
  </r>
  <r>
    <n v="137"/>
    <x v="115"/>
    <n v="1196729221"/>
    <s v="Empresa H"/>
    <s v="Armenia"/>
    <x v="2"/>
    <x v="2"/>
    <s v="Distribuidora Salento"/>
    <x v="0"/>
    <s v="Salsa BBQ"/>
    <x v="5"/>
    <n v="560"/>
    <n v="38"/>
    <x v="129"/>
  </r>
  <r>
    <n v="138"/>
    <x v="116"/>
    <n v="9020365601"/>
    <s v="Empresa H"/>
    <s v="Armenia"/>
    <x v="2"/>
    <x v="2"/>
    <s v="Distribuidora Salento"/>
    <x v="0"/>
    <s v="Galletas de chocolate"/>
    <x v="2"/>
    <n v="128.80000000000001"/>
    <n v="80"/>
    <x v="130"/>
  </r>
  <r>
    <n v="139"/>
    <x v="117"/>
    <n v="4818692078"/>
    <s v="Empresa Y"/>
    <s v="Cartagena"/>
    <x v="7"/>
    <x v="6"/>
    <s v="Comercializadora el Centro"/>
    <x v="2"/>
    <s v="Pan Seda"/>
    <x v="2"/>
    <n v="140"/>
    <n v="49"/>
    <x v="131"/>
  </r>
  <r>
    <n v="140"/>
    <x v="118"/>
    <n v="6502762369"/>
    <s v="Empresa Z"/>
    <s v="Bogota"/>
    <x v="9"/>
    <x v="5"/>
    <s v="Distribuciones el Sol"/>
    <x v="1"/>
    <s v="Aceite de oliva"/>
    <x v="12"/>
    <n v="298.89999999999998"/>
    <n v="90"/>
    <x v="132"/>
  </r>
  <r>
    <n v="141"/>
    <x v="119"/>
    <n v="924402492"/>
    <s v="Empresa Z"/>
    <s v="Bogota"/>
    <x v="9"/>
    <x v="5"/>
    <s v="Distribuciones el Sol"/>
    <x v="1"/>
    <s v="Camarones"/>
    <x v="4"/>
    <n v="135.1"/>
    <n v="60"/>
    <x v="124"/>
  </r>
  <r>
    <n v="142"/>
    <x v="120"/>
    <n v="5633857209"/>
    <s v="Empresa Z"/>
    <s v="Bogota"/>
    <x v="9"/>
    <x v="5"/>
    <s v="Distribuciones el Sol"/>
    <x v="1"/>
    <s v="Atún"/>
    <x v="8"/>
    <n v="257.60000000000002"/>
    <n v="39"/>
    <x v="133"/>
  </r>
  <r>
    <n v="143"/>
    <x v="121"/>
    <n v="9715216432"/>
    <s v="Empresa CC"/>
    <s v="Medellin"/>
    <x v="3"/>
    <x v="3"/>
    <s v="Distribuidora Salento"/>
    <x v="0"/>
    <s v="Cerveza"/>
    <x v="0"/>
    <n v="196"/>
    <n v="79"/>
    <x v="134"/>
  </r>
  <r>
    <n v="144"/>
    <x v="81"/>
    <n v="2808433382"/>
    <s v="Empresa F"/>
    <s v="Ibague"/>
    <x v="5"/>
    <x v="4"/>
    <s v="Distribuciones el Sol"/>
    <x v="0"/>
    <s v="Chocolate"/>
    <x v="3"/>
    <n v="178.5"/>
    <n v="44"/>
    <x v="135"/>
  </r>
  <r>
    <n v="145"/>
    <x v="122"/>
    <n v="5585231955"/>
    <s v="Empresa D"/>
    <s v="Cali"/>
    <x v="1"/>
    <x v="1"/>
    <s v="Comercializadora el Centro"/>
    <x v="1"/>
    <s v="Mermelada de mora"/>
    <x v="6"/>
    <n v="1134"/>
    <n v="98"/>
    <x v="136"/>
  </r>
  <r>
    <n v="146"/>
    <x v="123"/>
    <n v="4338999814"/>
    <s v="Empresa D"/>
    <s v="Cali"/>
    <x v="1"/>
    <x v="1"/>
    <s v="Comercializadora el Centro"/>
    <x v="1"/>
    <s v="Arroz"/>
    <x v="13"/>
    <n v="98"/>
    <n v="61"/>
    <x v="137"/>
  </r>
  <r>
    <n v="147"/>
    <x v="124"/>
    <n v="3475726472"/>
    <s v="Empresa H"/>
    <s v="Armenia"/>
    <x v="2"/>
    <x v="2"/>
    <s v="Distribuciones el Sol"/>
    <x v="1"/>
    <s v="Mozzarella"/>
    <x v="10"/>
    <n v="487.19999999999987"/>
    <n v="30"/>
    <x v="138"/>
  </r>
  <r>
    <n v="148"/>
    <x v="125"/>
    <n v="9727843310"/>
    <s v="Empresa C"/>
    <s v="Tunja"/>
    <x v="4"/>
    <x v="0"/>
    <s v="Distribuidora Salento"/>
    <x v="2"/>
    <s v="Jarabe"/>
    <x v="7"/>
    <n v="140"/>
    <n v="24"/>
    <x v="19"/>
  </r>
  <r>
    <n v="149"/>
    <x v="126"/>
    <n v="536031236"/>
    <s v="Empresa C"/>
    <s v="Tunja"/>
    <x v="4"/>
    <x v="0"/>
    <s v="Distribuidora Salento"/>
    <x v="2"/>
    <s v="Salsa BBQ"/>
    <x v="5"/>
    <n v="560"/>
    <n v="28"/>
    <x v="139"/>
  </r>
  <r>
    <n v="150"/>
    <x v="21"/>
    <n v="1875435757"/>
    <s v="Empresa J"/>
    <s v="Cartagena"/>
    <x v="7"/>
    <x v="6"/>
    <s v="Distribuidora Salento"/>
    <x v="1"/>
    <s v="Almendras"/>
    <x v="1"/>
    <n v="140"/>
    <n v="74"/>
    <x v="140"/>
  </r>
  <r>
    <n v="151"/>
    <x v="127"/>
    <n v="8711973073"/>
    <s v="Empresa J"/>
    <s v="Cartagena"/>
    <x v="7"/>
    <x v="6"/>
    <s v="Comercializadora el Centro"/>
    <x v="1"/>
    <s v="Ciruelas secas"/>
    <x v="1"/>
    <n v="49"/>
    <n v="90"/>
    <x v="141"/>
  </r>
  <r>
    <n v="152"/>
    <x v="123"/>
    <n v="1214228285"/>
    <s v="Empresa K"/>
    <s v="Bogota"/>
    <x v="9"/>
    <x v="5"/>
    <s v="Distribuciones el Sol"/>
    <x v="1"/>
    <s v="Salsa BBQ"/>
    <x v="5"/>
    <n v="560"/>
    <n v="27"/>
    <x v="142"/>
  </r>
  <r>
    <n v="153"/>
    <x v="128"/>
    <n v="3447948983"/>
    <s v="Empresa A"/>
    <s v="Manizales"/>
    <x v="10"/>
    <x v="2"/>
    <s v="Distribuciones el Sol"/>
    <x v="0"/>
    <s v="Atún"/>
    <x v="8"/>
    <n v="257.60000000000002"/>
    <n v="71"/>
    <x v="143"/>
  </r>
  <r>
    <n v="154"/>
    <x v="129"/>
    <n v="8753770178"/>
    <s v="Empresa BB"/>
    <s v="Pereira"/>
    <x v="6"/>
    <x v="5"/>
    <s v="Distribuciones el Sol"/>
    <x v="1"/>
    <s v="Café"/>
    <x v="0"/>
    <n v="644"/>
    <n v="74"/>
    <x v="144"/>
  </r>
  <r>
    <n v="155"/>
    <x v="52"/>
    <n v="493013693"/>
    <s v="Empresa I"/>
    <s v="Medellin"/>
    <x v="3"/>
    <x v="7"/>
    <s v="Comercializadora el Centro"/>
    <x v="0"/>
    <s v="Camarones"/>
    <x v="4"/>
    <n v="135.1"/>
    <n v="76"/>
    <x v="145"/>
  </r>
  <r>
    <n v="156"/>
    <x v="130"/>
    <n v="4097578178"/>
    <s v="Empresa F"/>
    <s v="Ibague"/>
    <x v="5"/>
    <x v="4"/>
    <s v="Distribuidora Salento"/>
    <x v="1"/>
    <s v="Chocolate"/>
    <x v="3"/>
    <n v="178.5"/>
    <n v="96"/>
    <x v="146"/>
  </r>
  <r>
    <n v="157"/>
    <x v="131"/>
    <n v="9949307477"/>
    <s v="Empresa H"/>
    <s v="Armenia"/>
    <x v="2"/>
    <x v="2"/>
    <s v="Distribuidora Salento"/>
    <x v="0"/>
    <s v="Chocolate"/>
    <x v="3"/>
    <n v="178.5"/>
    <n v="92"/>
    <x v="147"/>
  </r>
  <r>
    <n v="158"/>
    <x v="132"/>
    <n v="2521830520"/>
    <s v="Empresa Y"/>
    <s v="Cartagena"/>
    <x v="7"/>
    <x v="6"/>
    <s v="Comercializadora el Centro"/>
    <x v="2"/>
    <s v="Trisalsina"/>
    <x v="7"/>
    <n v="308"/>
    <n v="93"/>
    <x v="148"/>
  </r>
  <r>
    <n v="159"/>
    <x v="31"/>
    <n v="4224616034"/>
    <s v="Empresa Z"/>
    <s v="Bogota"/>
    <x v="9"/>
    <x v="5"/>
    <s v="Distribuciones el Sol"/>
    <x v="1"/>
    <s v="Jalea de fresa"/>
    <x v="6"/>
    <n v="350"/>
    <n v="18"/>
    <x v="149"/>
  </r>
  <r>
    <n v="160"/>
    <x v="133"/>
    <n v="7169314881"/>
    <s v="Empresa CC"/>
    <s v="Medellin"/>
    <x v="3"/>
    <x v="3"/>
    <s v="Distribuidora Salento"/>
    <x v="0"/>
    <s v="Cóctel de frutas"/>
    <x v="11"/>
    <n v="546"/>
    <n v="98"/>
    <x v="150"/>
  </r>
  <r>
    <n v="161"/>
    <x v="131"/>
    <n v="8313545064"/>
    <s v="Empresa F"/>
    <s v="Ibague"/>
    <x v="5"/>
    <x v="4"/>
    <s v="Distribuciones el Sol"/>
    <x v="0"/>
    <s v="Peras secas"/>
    <x v="1"/>
    <n v="420"/>
    <n v="46"/>
    <x v="151"/>
  </r>
  <r>
    <n v="162"/>
    <x v="134"/>
    <n v="5739621013"/>
    <s v="Empresa F"/>
    <s v="Ibague"/>
    <x v="5"/>
    <x v="4"/>
    <s v="Distribuciones el Sol"/>
    <x v="0"/>
    <s v="Manzanas secas"/>
    <x v="1"/>
    <n v="742"/>
    <n v="14"/>
    <x v="48"/>
  </r>
  <r>
    <n v="163"/>
    <x v="135"/>
    <n v="1789830506"/>
    <s v="Empresa D"/>
    <s v="Cali"/>
    <x v="1"/>
    <x v="1"/>
    <s v="Comercializadora el Centro"/>
    <x v="2"/>
    <s v="Pasta penne"/>
    <x v="9"/>
    <n v="532"/>
    <n v="85"/>
    <x v="152"/>
  </r>
  <r>
    <n v="164"/>
    <x v="136"/>
    <n v="6281652174"/>
    <s v="Empresa C"/>
    <s v="Tunja"/>
    <x v="4"/>
    <x v="0"/>
    <s v="Comercializadora el Centro"/>
    <x v="2"/>
    <s v="Té verde"/>
    <x v="0"/>
    <n v="41.86"/>
    <n v="88"/>
    <x v="76"/>
  </r>
  <r>
    <n v="165"/>
    <x v="137"/>
    <n v="8126696083"/>
    <s v="Empresa A"/>
    <s v="Manizales"/>
    <x v="10"/>
    <x v="2"/>
    <s v="Comercializadora el Centro"/>
    <x v="2"/>
    <s v="Té verde"/>
    <x v="0"/>
    <n v="41.86"/>
    <n v="81"/>
    <x v="153"/>
  </r>
  <r>
    <n v="166"/>
    <x v="89"/>
    <n v="2706456269"/>
    <s v="Empresa BB"/>
    <s v="Pereira"/>
    <x v="6"/>
    <x v="5"/>
    <s v="Distribuciones el Sol"/>
    <x v="1"/>
    <s v="Camarones"/>
    <x v="4"/>
    <n v="135.1"/>
    <n v="33"/>
    <x v="154"/>
  </r>
  <r>
    <n v="167"/>
    <x v="138"/>
    <n v="6159315697"/>
    <s v="Empresa BB"/>
    <s v="Pereira"/>
    <x v="6"/>
    <x v="5"/>
    <s v="Distribuciones el Sol"/>
    <x v="1"/>
    <s v="Atún"/>
    <x v="8"/>
    <n v="257.60000000000002"/>
    <n v="47"/>
    <x v="155"/>
  </r>
  <r>
    <n v="168"/>
    <x v="139"/>
    <n v="2749029538"/>
    <s v="Empresa I"/>
    <s v="Medellin"/>
    <x v="3"/>
    <x v="7"/>
    <s v="Comercializadora el Centro"/>
    <x v="0"/>
    <s v="Ravioli"/>
    <x v="9"/>
    <n v="273"/>
    <n v="61"/>
    <x v="156"/>
  </r>
  <r>
    <n v="169"/>
    <x v="36"/>
    <n v="9017454158"/>
    <s v="Empresa I"/>
    <s v="Medellin"/>
    <x v="3"/>
    <x v="7"/>
    <s v="Comercializadora el Centro"/>
    <x v="0"/>
    <s v="Mozzarella"/>
    <x v="10"/>
    <n v="487.19999999999987"/>
    <n v="27"/>
    <x v="157"/>
  </r>
  <r>
    <n v="170"/>
    <x v="140"/>
    <n v="445300235"/>
    <s v="Empresa F"/>
    <s v="Ibague"/>
    <x v="5"/>
    <x v="4"/>
    <s v="Distribuidora Salento"/>
    <x v="1"/>
    <s v="Cerveza"/>
    <x v="0"/>
    <n v="196"/>
    <n v="84"/>
    <x v="102"/>
  </r>
  <r>
    <n v="171"/>
    <x v="141"/>
    <n v="3498781571"/>
    <s v="Empresa H"/>
    <s v="Armenia"/>
    <x v="2"/>
    <x v="2"/>
    <s v="Distribuidora Salento"/>
    <x v="0"/>
    <s v="Salsa BBQ"/>
    <x v="5"/>
    <n v="560"/>
    <n v="91"/>
    <x v="158"/>
  </r>
  <r>
    <n v="172"/>
    <x v="142"/>
    <n v="376477229"/>
    <s v="Empresa H"/>
    <s v="Armenia"/>
    <x v="2"/>
    <x v="2"/>
    <s v="Distribuidora Salento"/>
    <x v="0"/>
    <s v="Galletas de chocolate"/>
    <x v="2"/>
    <n v="128.80000000000001"/>
    <n v="36"/>
    <x v="159"/>
  </r>
  <r>
    <n v="173"/>
    <x v="108"/>
    <n v="1790721708"/>
    <s v="Empresa Y"/>
    <s v="Cartagena"/>
    <x v="7"/>
    <x v="6"/>
    <s v="Comercializadora el Centro"/>
    <x v="2"/>
    <s v="Pan Seda"/>
    <x v="2"/>
    <n v="140"/>
    <n v="34"/>
    <x v="160"/>
  </r>
  <r>
    <n v="174"/>
    <x v="70"/>
    <n v="434033868"/>
    <s v="Empresa Z"/>
    <s v="Bogota"/>
    <x v="9"/>
    <x v="5"/>
    <s v="Distribuciones el Sol"/>
    <x v="1"/>
    <s v="Aceite de oliva"/>
    <x v="12"/>
    <n v="298.89999999999998"/>
    <n v="81"/>
    <x v="161"/>
  </r>
  <r>
    <n v="175"/>
    <x v="117"/>
    <n v="3247684317"/>
    <s v="Empresa Z"/>
    <s v="Bogota"/>
    <x v="9"/>
    <x v="5"/>
    <s v="Distribuciones el Sol"/>
    <x v="1"/>
    <s v="Camarones"/>
    <x v="4"/>
    <n v="135.1"/>
    <n v="25"/>
    <x v="162"/>
  </r>
  <r>
    <n v="176"/>
    <x v="143"/>
    <n v="6492121203"/>
    <s v="Empresa Z"/>
    <s v="Bogota"/>
    <x v="9"/>
    <x v="5"/>
    <s v="Distribuciones el Sol"/>
    <x v="1"/>
    <s v="Atún"/>
    <x v="8"/>
    <n v="257.60000000000002"/>
    <n v="12"/>
    <x v="163"/>
  </r>
  <r>
    <n v="177"/>
    <x v="137"/>
    <n v="1661667624"/>
    <s v="Empresa CC"/>
    <s v="Medellin"/>
    <x v="3"/>
    <x v="3"/>
    <s v="Distribuidora Salento"/>
    <x v="0"/>
    <s v="Cerveza"/>
    <x v="0"/>
    <n v="196"/>
    <n v="23"/>
    <x v="164"/>
  </r>
  <r>
    <n v="178"/>
    <x v="144"/>
    <n v="1127190015"/>
    <s v="Empresa F"/>
    <s v="Ibague"/>
    <x v="5"/>
    <x v="4"/>
    <s v="Distribuciones el Sol"/>
    <x v="0"/>
    <s v="Chocolate"/>
    <x v="3"/>
    <n v="178.5"/>
    <n v="76"/>
    <x v="165"/>
  </r>
  <r>
    <n v="179"/>
    <x v="16"/>
    <n v="7862399002"/>
    <s v="Empresa D"/>
    <s v="Cali"/>
    <x v="1"/>
    <x v="1"/>
    <s v="Comercializadora el Centro"/>
    <x v="1"/>
    <s v="Mermelada de mora"/>
    <x v="6"/>
    <n v="1134"/>
    <n v="55"/>
    <x v="166"/>
  </r>
  <r>
    <n v="180"/>
    <x v="128"/>
    <n v="9568142105"/>
    <s v="Empresa D"/>
    <s v="Cali"/>
    <x v="1"/>
    <x v="1"/>
    <s v="Comercializadora el Centro"/>
    <x v="1"/>
    <s v="Arroz"/>
    <x v="13"/>
    <n v="98"/>
    <n v="19"/>
    <x v="167"/>
  </r>
  <r>
    <n v="181"/>
    <x v="145"/>
    <n v="1181634254"/>
    <s v="Empresa H"/>
    <s v="Armenia"/>
    <x v="2"/>
    <x v="2"/>
    <s v="Distribuciones el Sol"/>
    <x v="1"/>
    <s v="Mozzarella"/>
    <x v="10"/>
    <n v="487.19999999999987"/>
    <n v="27"/>
    <x v="157"/>
  </r>
  <r>
    <n v="182"/>
    <x v="58"/>
    <n v="5404968765"/>
    <s v="Empresa C"/>
    <s v="Tunja"/>
    <x v="4"/>
    <x v="0"/>
    <s v="Distribuidora Salento"/>
    <x v="2"/>
    <s v="Jarabe"/>
    <x v="7"/>
    <n v="140"/>
    <n v="99"/>
    <x v="82"/>
  </r>
  <r>
    <n v="183"/>
    <x v="146"/>
    <n v="2431996009"/>
    <s v="Empresa C"/>
    <s v="Tunja"/>
    <x v="4"/>
    <x v="0"/>
    <s v="Distribuidora Salento"/>
    <x v="2"/>
    <s v="Salsa BBQ"/>
    <x v="5"/>
    <n v="560"/>
    <n v="10"/>
    <x v="168"/>
  </r>
  <r>
    <n v="184"/>
    <x v="98"/>
    <n v="6373385557"/>
    <s v="Empresa J"/>
    <s v="Cartagena"/>
    <x v="7"/>
    <x v="6"/>
    <s v="Distribuidora Salento"/>
    <x v="1"/>
    <s v="Almendras"/>
    <x v="1"/>
    <n v="140"/>
    <n v="80"/>
    <x v="169"/>
  </r>
  <r>
    <n v="185"/>
    <x v="79"/>
    <n v="5411926783"/>
    <s v="Empresa J"/>
    <s v="Cartagena"/>
    <x v="7"/>
    <x v="6"/>
    <s v="Comercializadora el Centro"/>
    <x v="0"/>
    <s v="Ciruelas secas"/>
    <x v="1"/>
    <n v="49"/>
    <n v="27"/>
    <x v="170"/>
  </r>
  <r>
    <n v="186"/>
    <x v="147"/>
    <n v="8397590471"/>
    <s v="Empresa K"/>
    <s v="Bogota"/>
    <x v="9"/>
    <x v="5"/>
    <s v="Distribuciones el Sol"/>
    <x v="0"/>
    <s v="Salsa BBQ"/>
    <x v="5"/>
    <n v="560"/>
    <n v="97"/>
    <x v="171"/>
  </r>
  <r>
    <n v="187"/>
    <x v="148"/>
    <n v="5905399576"/>
    <s v="Empresa A"/>
    <s v="Manizales"/>
    <x v="10"/>
    <x v="2"/>
    <s v="Distribuciones el Sol"/>
    <x v="2"/>
    <s v="Atún"/>
    <x v="8"/>
    <n v="257.60000000000002"/>
    <n v="42"/>
    <x v="172"/>
  </r>
  <r>
    <n v="188"/>
    <x v="90"/>
    <n v="168682758"/>
    <s v="Empresa BB"/>
    <s v="Pereira"/>
    <x v="6"/>
    <x v="5"/>
    <s v="Distribuciones el Sol"/>
    <x v="1"/>
    <s v="Café"/>
    <x v="0"/>
    <n v="644"/>
    <n v="24"/>
    <x v="173"/>
  </r>
  <r>
    <n v="189"/>
    <x v="149"/>
    <n v="4992553897"/>
    <s v="Empresa I"/>
    <s v="Medellin"/>
    <x v="3"/>
    <x v="7"/>
    <s v="Comercializadora el Centro"/>
    <x v="0"/>
    <s v="Camarones"/>
    <x v="4"/>
    <n v="135.1"/>
    <n v="90"/>
    <x v="174"/>
  </r>
  <r>
    <n v="190"/>
    <x v="89"/>
    <n v="9609810399"/>
    <s v="Empresa F"/>
    <s v="Ibague"/>
    <x v="5"/>
    <x v="4"/>
    <s v="Distribuidora Salento"/>
    <x v="1"/>
    <s v="Chocolate"/>
    <x v="3"/>
    <n v="178.5"/>
    <n v="28"/>
    <x v="175"/>
  </r>
  <r>
    <n v="191"/>
    <x v="10"/>
    <n v="1537469039"/>
    <s v="Empresa BB"/>
    <s v="Pereira"/>
    <x v="6"/>
    <x v="5"/>
    <s v="Distribuciones el Sol"/>
    <x v="0"/>
    <s v="Café"/>
    <x v="0"/>
    <n v="644"/>
    <n v="28"/>
    <x v="176"/>
  </r>
  <r>
    <n v="192"/>
    <x v="133"/>
    <n v="2018401595"/>
    <s v="Empresa H"/>
    <s v="Armenia"/>
    <x v="2"/>
    <x v="2"/>
    <s v="Distribuciones el Sol"/>
    <x v="0"/>
    <s v="Chocolate"/>
    <x v="3"/>
    <n v="178.5"/>
    <n v="57"/>
    <x v="177"/>
  </r>
  <r>
    <n v="193"/>
    <x v="150"/>
    <n v="1129934476"/>
    <s v="Empresa J"/>
    <s v="Cartagena"/>
    <x v="7"/>
    <x v="6"/>
    <s v="Distribuidora Salento"/>
    <x v="1"/>
    <s v="Té verde"/>
    <x v="0"/>
    <n v="41.86"/>
    <n v="23"/>
    <x v="178"/>
  </r>
  <r>
    <n v="194"/>
    <x v="112"/>
    <n v="878400496"/>
    <s v="Empresa G"/>
    <s v="Neiva"/>
    <x v="8"/>
    <x v="2"/>
    <s v="Distribuciones el Sol"/>
    <x v="1"/>
    <s v="Café"/>
    <x v="0"/>
    <n v="644"/>
    <n v="86"/>
    <x v="179"/>
  </r>
  <r>
    <n v="195"/>
    <x v="151"/>
    <n v="6271764467"/>
    <s v="Empresa J"/>
    <s v="Cartagena"/>
    <x v="7"/>
    <x v="6"/>
    <s v="Comercializadora el Centro"/>
    <x v="1"/>
    <s v="Jalea de fresa"/>
    <x v="6"/>
    <n v="350"/>
    <n v="47"/>
    <x v="180"/>
  </r>
  <r>
    <n v="196"/>
    <x v="152"/>
    <n v="5954546839"/>
    <s v="Empresa J"/>
    <s v="Cartagena"/>
    <x v="7"/>
    <x v="6"/>
    <s v="Comercializadora el Centro"/>
    <x v="0"/>
    <s v="Trisalsina"/>
    <x v="7"/>
    <n v="308"/>
    <n v="97"/>
    <x v="181"/>
  </r>
  <r>
    <n v="197"/>
    <x v="153"/>
    <n v="1007419194"/>
    <s v="Empresa J"/>
    <s v="Cartagena"/>
    <x v="7"/>
    <x v="6"/>
    <s v="Comercializadora el Centro"/>
    <x v="0"/>
    <s v="Galletas de chocolate"/>
    <x v="2"/>
    <n v="128.80000000000001"/>
    <n v="96"/>
    <x v="182"/>
  </r>
  <r>
    <n v="198"/>
    <x v="78"/>
    <n v="2749506386"/>
    <s v="Empresa K"/>
    <s v="Bogota"/>
    <x v="9"/>
    <x v="5"/>
    <s v="Distribuciones el Sol"/>
    <x v="0"/>
    <s v="Ciruelas secas"/>
    <x v="1"/>
    <n v="49"/>
    <n v="31"/>
    <x v="183"/>
  </r>
  <r>
    <n v="199"/>
    <x v="154"/>
    <n v="3279160134"/>
    <s v="Empresa K"/>
    <s v="Bogota"/>
    <x v="9"/>
    <x v="5"/>
    <s v="Distribuciones el Sol"/>
    <x v="2"/>
    <s v="Té verde"/>
    <x v="0"/>
    <n v="41.86"/>
    <n v="52"/>
    <x v="184"/>
  </r>
  <r>
    <n v="200"/>
    <x v="77"/>
    <n v="6789089883"/>
    <s v="Empresa A"/>
    <s v="Manizales"/>
    <x v="10"/>
    <x v="2"/>
    <s v="Comercializadora el Centro"/>
    <x v="2"/>
    <s v="Aromatica"/>
    <x v="0"/>
    <n v="252"/>
    <n v="91"/>
    <x v="185"/>
  </r>
  <r>
    <n v="201"/>
    <x v="155"/>
    <n v="7775981065"/>
    <s v="Empresa A"/>
    <s v="Manizales"/>
    <x v="10"/>
    <x v="2"/>
    <s v="Distribuidora Salento"/>
    <x v="2"/>
    <s v="Café"/>
    <x v="0"/>
    <n v="644"/>
    <n v="14"/>
    <x v="186"/>
  </r>
  <r>
    <n v="202"/>
    <x v="80"/>
    <n v="5357417804"/>
    <s v="Empresa A"/>
    <s v="Manizales"/>
    <x v="10"/>
    <x v="2"/>
    <s v="Distribuidora Salento"/>
    <x v="1"/>
    <s v="Té verde"/>
    <x v="0"/>
    <n v="41.86"/>
    <n v="44"/>
    <x v="187"/>
  </r>
  <r>
    <n v="203"/>
    <x v="150"/>
    <n v="4986720222"/>
    <s v="Empresa BB"/>
    <s v="Pereira"/>
    <x v="6"/>
    <x v="5"/>
    <s v="Distribuciones el Sol"/>
    <x v="1"/>
    <s v="Camarones"/>
    <x v="4"/>
    <n v="135.1"/>
    <n v="97"/>
    <x v="53"/>
  </r>
  <r>
    <n v="204"/>
    <x v="156"/>
    <n v="9264353300"/>
    <s v="Empresa BB"/>
    <s v="Pereira"/>
    <x v="6"/>
    <x v="5"/>
    <s v="Distribuciones el Sol"/>
    <x v="1"/>
    <s v="Atún"/>
    <x v="8"/>
    <n v="257.60000000000002"/>
    <n v="80"/>
    <x v="36"/>
  </r>
  <r>
    <n v="205"/>
    <x v="157"/>
    <n v="4507840734"/>
    <s v="Empresa I"/>
    <s v="Medellin"/>
    <x v="3"/>
    <x v="7"/>
    <s v="Comercializadora el Centro"/>
    <x v="0"/>
    <s v="Ravioli"/>
    <x v="9"/>
    <n v="273"/>
    <n v="66"/>
    <x v="188"/>
  </r>
  <r>
    <n v="206"/>
    <x v="158"/>
    <n v="1926814553"/>
    <s v="Empresa I"/>
    <s v="Medellin"/>
    <x v="3"/>
    <x v="7"/>
    <s v="Comercializadora el Centro"/>
    <x v="0"/>
    <s v="Mozzarella"/>
    <x v="10"/>
    <n v="487.19999999999987"/>
    <n v="32"/>
    <x v="189"/>
  </r>
  <r>
    <n v="207"/>
    <x v="159"/>
    <n v="1115906573"/>
    <s v="Empresa F"/>
    <s v="Ibague"/>
    <x v="5"/>
    <x v="4"/>
    <s v="Distribuidora Salento"/>
    <x v="1"/>
    <s v="Cerveza"/>
    <x v="0"/>
    <n v="196"/>
    <n v="52"/>
    <x v="190"/>
  </r>
  <r>
    <n v="208"/>
    <x v="153"/>
    <n v="4298972271"/>
    <s v="Empresa H"/>
    <s v="Armenia"/>
    <x v="2"/>
    <x v="2"/>
    <s v="Distribuidora Salento"/>
    <x v="0"/>
    <s v="Salsa BBQ"/>
    <x v="5"/>
    <n v="560"/>
    <n v="78"/>
    <x v="191"/>
  </r>
  <r>
    <n v="209"/>
    <x v="160"/>
    <n v="1419202858"/>
    <s v="Empresa H"/>
    <s v="Armenia"/>
    <x v="2"/>
    <x v="2"/>
    <s v="Distribuidora Salento"/>
    <x v="0"/>
    <s v="Galletas de chocolate"/>
    <x v="2"/>
    <n v="128.80000000000001"/>
    <n v="54"/>
    <x v="192"/>
  </r>
  <r>
    <n v="210"/>
    <x v="49"/>
    <n v="3516608759"/>
    <s v="Empresa Y"/>
    <s v="Cartagena"/>
    <x v="7"/>
    <x v="6"/>
    <s v="Comercializadora el Centro"/>
    <x v="2"/>
    <s v="Pan Seda"/>
    <x v="2"/>
    <n v="140"/>
    <n v="55"/>
    <x v="62"/>
  </r>
  <r>
    <n v="211"/>
    <x v="161"/>
    <n v="8191358442"/>
    <s v="Empresa Z"/>
    <s v="Bogota"/>
    <x v="9"/>
    <x v="5"/>
    <s v="Distribuciones el Sol"/>
    <x v="1"/>
    <s v="Aceite de oliva"/>
    <x v="12"/>
    <n v="298.89999999999998"/>
    <n v="60"/>
    <x v="193"/>
  </r>
  <r>
    <n v="212"/>
    <x v="162"/>
    <n v="8451227157"/>
    <s v="Empresa Z"/>
    <s v="Bogota"/>
    <x v="9"/>
    <x v="5"/>
    <s v="Distribuciones el Sol"/>
    <x v="1"/>
    <s v="Camarones"/>
    <x v="4"/>
    <n v="135.1"/>
    <n v="19"/>
    <x v="194"/>
  </r>
  <r>
    <n v="213"/>
    <x v="163"/>
    <n v="9847155245"/>
    <s v="Empresa Z"/>
    <s v="Bogota"/>
    <x v="9"/>
    <x v="5"/>
    <s v="Distribuciones el Sol"/>
    <x v="1"/>
    <s v="Atún"/>
    <x v="8"/>
    <n v="257.60000000000002"/>
    <n v="66"/>
    <x v="195"/>
  </r>
  <r>
    <n v="214"/>
    <x v="164"/>
    <n v="5189485028"/>
    <s v="Empresa CC"/>
    <s v="Medellin"/>
    <x v="3"/>
    <x v="3"/>
    <s v="Distribuidora Salento"/>
    <x v="0"/>
    <s v="Cerveza"/>
    <x v="0"/>
    <n v="196"/>
    <n v="42"/>
    <x v="196"/>
  </r>
  <r>
    <n v="215"/>
    <x v="13"/>
    <n v="2367569858"/>
    <s v="Empresa F"/>
    <s v="Ibague"/>
    <x v="5"/>
    <x v="4"/>
    <s v="Distribuciones el Sol"/>
    <x v="0"/>
    <s v="Chocolate"/>
    <x v="3"/>
    <n v="178.5"/>
    <n v="72"/>
    <x v="197"/>
  </r>
  <r>
    <n v="216"/>
    <x v="165"/>
    <n v="1241520334"/>
    <s v="Empresa D"/>
    <s v="Cali"/>
    <x v="1"/>
    <x v="1"/>
    <s v="Comercializadora el Centro"/>
    <x v="1"/>
    <s v="Mermelada de mora"/>
    <x v="6"/>
    <n v="1134"/>
    <n v="32"/>
    <x v="198"/>
  </r>
  <r>
    <n v="217"/>
    <x v="166"/>
    <n v="6999895697"/>
    <s v="Empresa D"/>
    <s v="Cali"/>
    <x v="1"/>
    <x v="1"/>
    <s v="Comercializadora el Centro"/>
    <x v="1"/>
    <s v="Arroz"/>
    <x v="13"/>
    <n v="98"/>
    <n v="76"/>
    <x v="199"/>
  </r>
  <r>
    <n v="218"/>
    <x v="139"/>
    <n v="2931440223"/>
    <s v="Empresa J"/>
    <s v="Cartagena"/>
    <x v="7"/>
    <x v="6"/>
    <s v="Comercializadora el Centro"/>
    <x v="0"/>
    <s v="Galletas de chocolate"/>
    <x v="2"/>
    <n v="128.80000000000001"/>
    <n v="83"/>
    <x v="200"/>
  </r>
  <r>
    <n v="219"/>
    <x v="25"/>
    <n v="6045555436"/>
    <s v="Empresa K"/>
    <s v="Bogota"/>
    <x v="9"/>
    <x v="5"/>
    <s v="Distribuciones el Sol"/>
    <x v="2"/>
    <s v="Ciruelas secas"/>
    <x v="1"/>
    <n v="49"/>
    <n v="91"/>
    <x v="201"/>
  </r>
  <r>
    <n v="220"/>
    <x v="54"/>
    <n v="4985084204"/>
    <s v="Empresa K"/>
    <s v="Bogota"/>
    <x v="9"/>
    <x v="5"/>
    <s v="Distribuciones el Sol"/>
    <x v="0"/>
    <s v="Té verde"/>
    <x v="0"/>
    <n v="41.86"/>
    <n v="64"/>
    <x v="202"/>
  </r>
  <r>
    <n v="221"/>
    <x v="96"/>
    <n v="8950774476"/>
    <s v="Empresa A"/>
    <s v="Manizales"/>
    <x v="10"/>
    <x v="2"/>
    <s v="Comercializadora el Centro"/>
    <x v="2"/>
    <s v="Aromatica"/>
    <x v="0"/>
    <n v="252"/>
    <n v="58"/>
    <x v="138"/>
  </r>
  <r>
    <n v="222"/>
    <x v="167"/>
    <n v="4091794218"/>
    <s v="Empresa A"/>
    <s v="Manizales"/>
    <x v="10"/>
    <x v="2"/>
    <s v="Distribuidora Salento"/>
    <x v="1"/>
    <s v="Café"/>
    <x v="0"/>
    <n v="644"/>
    <n v="97"/>
    <x v="203"/>
  </r>
  <r>
    <n v="223"/>
    <x v="151"/>
    <n v="2789876793"/>
    <s v="Empresa A"/>
    <s v="Manizales"/>
    <x v="10"/>
    <x v="2"/>
    <s v="Distribuidora Salento"/>
    <x v="1"/>
    <s v="Té verde"/>
    <x v="0"/>
    <n v="41.86"/>
    <n v="14"/>
    <x v="204"/>
  </r>
  <r>
    <n v="224"/>
    <x v="168"/>
    <n v="4338385582"/>
    <s v="Empresa BB"/>
    <s v="Pereira"/>
    <x v="6"/>
    <x v="5"/>
    <s v="Distribuciones el Sol"/>
    <x v="1"/>
    <s v="Camarones"/>
    <x v="4"/>
    <n v="135.1"/>
    <n v="68"/>
    <x v="205"/>
  </r>
  <r>
    <n v="225"/>
    <x v="142"/>
    <n v="9159410824"/>
    <s v="Empresa BB"/>
    <s v="Pereira"/>
    <x v="6"/>
    <x v="5"/>
    <s v="Distribuciones el Sol"/>
    <x v="1"/>
    <s v="Atún"/>
    <x v="8"/>
    <n v="257.60000000000002"/>
    <n v="32"/>
    <x v="206"/>
  </r>
  <r>
    <n v="226"/>
    <x v="169"/>
    <n v="6562657766"/>
    <s v="Empresa I"/>
    <s v="Medellin"/>
    <x v="3"/>
    <x v="7"/>
    <s v="Comercializadora el Centro"/>
    <x v="0"/>
    <s v="Ravioli"/>
    <x v="9"/>
    <n v="273"/>
    <n v="48"/>
    <x v="207"/>
  </r>
  <r>
    <n v="227"/>
    <x v="170"/>
    <n v="4160634865"/>
    <s v="Empresa I"/>
    <s v="Medellin"/>
    <x v="3"/>
    <x v="7"/>
    <s v="Comercializadora el Centro"/>
    <x v="0"/>
    <s v="Mozzarella"/>
    <x v="10"/>
    <n v="487.19999999999987"/>
    <n v="57"/>
    <x v="208"/>
  </r>
  <r>
    <n v="228"/>
    <x v="145"/>
    <n v="142416687"/>
    <s v="Empresa F"/>
    <s v="Ibague"/>
    <x v="5"/>
    <x v="4"/>
    <s v="Distribuidora Salento"/>
    <x v="1"/>
    <s v="Cerveza"/>
    <x v="0"/>
    <n v="196"/>
    <n v="67"/>
    <x v="209"/>
  </r>
  <r>
    <n v="229"/>
    <x v="105"/>
    <n v="6114991349"/>
    <s v="Empresa H"/>
    <s v="Armenia"/>
    <x v="2"/>
    <x v="2"/>
    <s v="Distribuidora Salento"/>
    <x v="0"/>
    <s v="Salsa BBQ"/>
    <x v="5"/>
    <n v="560"/>
    <n v="48"/>
    <x v="210"/>
  </r>
  <r>
    <n v="230"/>
    <x v="171"/>
    <n v="6472352060"/>
    <s v="Empresa H"/>
    <s v="Armenia"/>
    <x v="2"/>
    <x v="2"/>
    <s v="Distribuidora Salento"/>
    <x v="0"/>
    <s v="Galletas de chocolate"/>
    <x v="2"/>
    <n v="128.80000000000001"/>
    <n v="77"/>
    <x v="211"/>
  </r>
  <r>
    <n v="231"/>
    <x v="135"/>
    <n v="5399077795"/>
    <s v="Empresa Y"/>
    <s v="Cartagena"/>
    <x v="7"/>
    <x v="6"/>
    <s v="Comercializadora el Centro"/>
    <x v="2"/>
    <s v="Pan Seda"/>
    <x v="2"/>
    <n v="140"/>
    <n v="94"/>
    <x v="212"/>
  </r>
  <r>
    <n v="232"/>
    <x v="172"/>
    <n v="6275645168"/>
    <s v="Empresa Z"/>
    <s v="Bogota"/>
    <x v="9"/>
    <x v="5"/>
    <s v="Distribuciones el Sol"/>
    <x v="1"/>
    <s v="Aceite de oliva"/>
    <x v="12"/>
    <n v="298.89999999999998"/>
    <n v="54"/>
    <x v="213"/>
  </r>
  <r>
    <n v="233"/>
    <x v="48"/>
    <n v="597069969"/>
    <s v="Empresa Z"/>
    <s v="Bogota"/>
    <x v="9"/>
    <x v="5"/>
    <s v="Distribuciones el Sol"/>
    <x v="1"/>
    <s v="Camarones"/>
    <x v="4"/>
    <n v="135.1"/>
    <n v="43"/>
    <x v="84"/>
  </r>
  <r>
    <n v="234"/>
    <x v="55"/>
    <n v="1323169656"/>
    <s v="Empresa Z"/>
    <s v="Bogota"/>
    <x v="9"/>
    <x v="5"/>
    <s v="Distribuciones el Sol"/>
    <x v="1"/>
    <s v="Atún"/>
    <x v="8"/>
    <n v="257.60000000000002"/>
    <n v="71"/>
    <x v="143"/>
  </r>
  <r>
    <n v="235"/>
    <x v="173"/>
    <n v="2932971142"/>
    <s v="Empresa CC"/>
    <s v="Medellin"/>
    <x v="3"/>
    <x v="3"/>
    <s v="Distribuidora Salento"/>
    <x v="0"/>
    <s v="Cerveza"/>
    <x v="0"/>
    <n v="196"/>
    <n v="50"/>
    <x v="214"/>
  </r>
  <r>
    <n v="236"/>
    <x v="174"/>
    <n v="3634141900"/>
    <s v="Empresa F"/>
    <s v="Ibague"/>
    <x v="5"/>
    <x v="4"/>
    <s v="Distribuciones el Sol"/>
    <x v="0"/>
    <s v="Chocolate"/>
    <x v="3"/>
    <n v="178.5"/>
    <n v="96"/>
    <x v="146"/>
  </r>
  <r>
    <n v="237"/>
    <x v="158"/>
    <n v="8872627168"/>
    <s v="Empresa D"/>
    <s v="Cali"/>
    <x v="1"/>
    <x v="1"/>
    <s v="Comercializadora el Centro"/>
    <x v="1"/>
    <s v="Mermelada de mora"/>
    <x v="6"/>
    <n v="1134"/>
    <n v="54"/>
    <x v="215"/>
  </r>
  <r>
    <n v="238"/>
    <x v="175"/>
    <n v="5571010485"/>
    <s v="Empresa D"/>
    <s v="Cali"/>
    <x v="1"/>
    <x v="1"/>
    <s v="Comercializadora el Centro"/>
    <x v="1"/>
    <s v="Arroz"/>
    <x v="13"/>
    <n v="98"/>
    <n v="39"/>
    <x v="216"/>
  </r>
  <r>
    <n v="239"/>
    <x v="63"/>
    <n v="7703467924"/>
    <s v="Empresa H"/>
    <s v="Armenia"/>
    <x v="2"/>
    <x v="2"/>
    <s v="Distribuciones el Sol"/>
    <x v="1"/>
    <s v="Mozzarella"/>
    <x v="10"/>
    <n v="487.19999999999987"/>
    <n v="63"/>
    <x v="59"/>
  </r>
  <r>
    <n v="240"/>
    <x v="141"/>
    <n v="7747820326"/>
    <s v="Empresa C"/>
    <s v="Tunja"/>
    <x v="4"/>
    <x v="0"/>
    <s v="Distribuidora Salento"/>
    <x v="2"/>
    <s v="Jarabe"/>
    <x v="7"/>
    <n v="140"/>
    <n v="71"/>
    <x v="217"/>
  </r>
  <r>
    <n v="241"/>
    <x v="176"/>
    <n v="5769101754"/>
    <s v="Empresa C"/>
    <s v="Tunja"/>
    <x v="4"/>
    <x v="0"/>
    <s v="Distribuidora Salento"/>
    <x v="2"/>
    <s v="Salsa BBQ"/>
    <x v="5"/>
    <n v="560"/>
    <n v="88"/>
    <x v="218"/>
  </r>
  <r>
    <n v="242"/>
    <x v="78"/>
    <n v="7427615835"/>
    <s v="Empresa J"/>
    <s v="Cartagena"/>
    <x v="7"/>
    <x v="6"/>
    <s v="Distribuidora Salento"/>
    <x v="1"/>
    <s v="Almendras"/>
    <x v="1"/>
    <n v="140"/>
    <n v="59"/>
    <x v="219"/>
  </r>
  <r>
    <n v="243"/>
    <x v="177"/>
    <n v="242336558"/>
    <s v="Empresa F"/>
    <s v="Ibague"/>
    <x v="5"/>
    <x v="4"/>
    <s v="Distribuidora Salento"/>
    <x v="1"/>
    <s v="Salsa BBQ"/>
    <x v="5"/>
    <n v="560"/>
    <n v="94"/>
    <x v="220"/>
  </r>
  <r>
    <n v="244"/>
    <x v="136"/>
    <n v="2520819737"/>
    <s v="Empresa BB"/>
    <s v="Pereira"/>
    <x v="6"/>
    <x v="5"/>
    <s v="Distribuciones el Sol"/>
    <x v="0"/>
    <s v="Café"/>
    <x v="0"/>
    <n v="644"/>
    <n v="86"/>
    <x v="179"/>
  </r>
  <r>
    <n v="245"/>
    <x v="178"/>
    <n v="8828389188"/>
    <s v="Empresa H"/>
    <s v="Armenia"/>
    <x v="2"/>
    <x v="2"/>
    <s v="Distribuciones el Sol"/>
    <x v="0"/>
    <s v="Chocolate"/>
    <x v="3"/>
    <n v="178.5"/>
    <n v="61"/>
    <x v="221"/>
  </r>
  <r>
    <n v="246"/>
    <x v="179"/>
    <n v="164422904"/>
    <s v="Empresa J"/>
    <s v="Cartagena"/>
    <x v="7"/>
    <x v="6"/>
    <s v="Distribuidora Salento"/>
    <x v="1"/>
    <s v="Té verde"/>
    <x v="0"/>
    <n v="41.86"/>
    <n v="32"/>
    <x v="222"/>
  </r>
  <r>
    <n v="247"/>
    <x v="180"/>
    <n v="7991995786"/>
    <s v="Empresa G"/>
    <s v="Neiva"/>
    <x v="8"/>
    <x v="2"/>
    <s v="Comercializadora el Centro"/>
    <x v="2"/>
    <s v="Café"/>
    <x v="0"/>
    <n v="644"/>
    <n v="62"/>
    <x v="223"/>
  </r>
  <r>
    <n v="248"/>
    <x v="181"/>
    <n v="4149364306"/>
    <s v="Empresa J"/>
    <s v="Cartagena"/>
    <x v="7"/>
    <x v="6"/>
    <s v="Comercializadora el Centro"/>
    <x v="2"/>
    <s v="Jalea de fresa"/>
    <x v="6"/>
    <n v="350"/>
    <n v="60"/>
    <x v="224"/>
  </r>
  <r>
    <n v="249"/>
    <x v="94"/>
    <n v="6397472642"/>
    <s v="Empresa J"/>
    <s v="Cartagena"/>
    <x v="7"/>
    <x v="6"/>
    <s v="Comercializadora el Centro"/>
    <x v="2"/>
    <s v="Trisalsina"/>
    <x v="7"/>
    <n v="308"/>
    <n v="51"/>
    <x v="225"/>
  </r>
  <r>
    <n v="250"/>
    <x v="70"/>
    <n v="1168651383"/>
    <s v="Empresa J"/>
    <s v="Cartagena"/>
    <x v="7"/>
    <x v="6"/>
    <s v="Comercializadora el Centro"/>
    <x v="1"/>
    <s v="Galletas de chocolate"/>
    <x v="2"/>
    <n v="128.80000000000001"/>
    <n v="49"/>
    <x v="226"/>
  </r>
  <r>
    <n v="251"/>
    <x v="182"/>
    <n v="1309311215"/>
    <s v="Empresa K"/>
    <s v="Bogota"/>
    <x v="9"/>
    <x v="5"/>
    <s v="Distribuciones el Sol"/>
    <x v="1"/>
    <s v="Ciruelas secas"/>
    <x v="1"/>
    <n v="49"/>
    <n v="20"/>
    <x v="227"/>
  </r>
  <r>
    <n v="252"/>
    <x v="183"/>
    <n v="4552083877"/>
    <s v="Empresa K"/>
    <s v="Bogota"/>
    <x v="9"/>
    <x v="5"/>
    <s v="Distribuciones el Sol"/>
    <x v="1"/>
    <s v="Té verde"/>
    <x v="0"/>
    <n v="41.86"/>
    <n v="49"/>
    <x v="228"/>
  </r>
  <r>
    <n v="253"/>
    <x v="184"/>
    <n v="6119453494"/>
    <s v="Empresa A"/>
    <s v="Manizales"/>
    <x v="10"/>
    <x v="2"/>
    <s v="Distribuidora Salento"/>
    <x v="0"/>
    <s v="Aromatica"/>
    <x v="0"/>
    <n v="252"/>
    <n v="22"/>
    <x v="229"/>
  </r>
  <r>
    <n v="254"/>
    <x v="52"/>
    <n v="8815781249"/>
    <s v="Empresa A"/>
    <s v="Manizales"/>
    <x v="10"/>
    <x v="2"/>
    <s v="Distribuidora Salento"/>
    <x v="0"/>
    <s v="Café"/>
    <x v="0"/>
    <n v="644"/>
    <n v="73"/>
    <x v="230"/>
  </r>
  <r>
    <n v="255"/>
    <x v="177"/>
    <n v="5308869510"/>
    <s v="Empresa A"/>
    <s v="Manizales"/>
    <x v="10"/>
    <x v="2"/>
    <s v="Distribuidora Salento"/>
    <x v="0"/>
    <s v="Té verde"/>
    <x v="0"/>
    <n v="41.86"/>
    <n v="85"/>
    <x v="231"/>
  </r>
  <r>
    <n v="256"/>
    <x v="185"/>
    <n v="9623390930"/>
    <s v="Empresa BB"/>
    <s v="Pereira"/>
    <x v="6"/>
    <x v="5"/>
    <s v="Distribuciones el Sol"/>
    <x v="1"/>
    <s v="Camarones"/>
    <x v="4"/>
    <n v="135.1"/>
    <n v="44"/>
    <x v="232"/>
  </r>
  <r>
    <n v="257"/>
    <x v="176"/>
    <n v="9925453816"/>
    <s v="Empresa BB"/>
    <s v="Pereira"/>
    <x v="6"/>
    <x v="5"/>
    <s v="Distribuciones el Sol"/>
    <x v="1"/>
    <s v="Atún"/>
    <x v="8"/>
    <n v="257.60000000000002"/>
    <n v="24"/>
    <x v="233"/>
  </r>
  <r>
    <n v="258"/>
    <x v="169"/>
    <n v="6948053333"/>
    <s v="Empresa I"/>
    <s v="Medellin"/>
    <x v="3"/>
    <x v="7"/>
    <s v="Comercializadora el Centro"/>
    <x v="0"/>
    <s v="Ravioli"/>
    <x v="9"/>
    <n v="273"/>
    <n v="64"/>
    <x v="234"/>
  </r>
  <r>
    <n v="259"/>
    <x v="148"/>
    <n v="2060963898"/>
    <s v="Empresa I"/>
    <s v="Medellin"/>
    <x v="3"/>
    <x v="7"/>
    <s v="Comercializadora el Centro"/>
    <x v="0"/>
    <s v="Mozzarella"/>
    <x v="10"/>
    <n v="487.19999999999987"/>
    <n v="70"/>
    <x v="235"/>
  </r>
  <r>
    <n v="260"/>
    <x v="173"/>
    <n v="2582781913"/>
    <s v="Empresa F"/>
    <s v="Ibague"/>
    <x v="5"/>
    <x v="4"/>
    <s v="Distribuidora Salento"/>
    <x v="1"/>
    <s v="Cerveza"/>
    <x v="0"/>
    <n v="196"/>
    <n v="98"/>
    <x v="236"/>
  </r>
  <r>
    <n v="261"/>
    <x v="26"/>
    <n v="2732649952"/>
    <s v="Empresa H"/>
    <s v="Armenia"/>
    <x v="2"/>
    <x v="2"/>
    <s v="Distribuidora Salento"/>
    <x v="0"/>
    <s v="Salsa BBQ"/>
    <x v="5"/>
    <n v="560"/>
    <n v="48"/>
    <x v="210"/>
  </r>
  <r>
    <n v="262"/>
    <x v="140"/>
    <n v="4179453952"/>
    <s v="Empresa H"/>
    <s v="Armenia"/>
    <x v="2"/>
    <x v="2"/>
    <s v="Distribuidora Salento"/>
    <x v="0"/>
    <s v="Galletas de chocolate"/>
    <x v="2"/>
    <n v="128.80000000000001"/>
    <n v="100"/>
    <x v="237"/>
  </r>
  <r>
    <n v="263"/>
    <x v="186"/>
    <n v="4339665341"/>
    <s v="Empresa Y"/>
    <s v="Cartagena"/>
    <x v="7"/>
    <x v="6"/>
    <s v="Comercializadora el Centro"/>
    <x v="2"/>
    <s v="Pan Seda"/>
    <x v="2"/>
    <n v="140"/>
    <n v="90"/>
    <x v="238"/>
  </r>
  <r>
    <n v="264"/>
    <x v="187"/>
    <n v="9193900326"/>
    <s v="Empresa Z"/>
    <s v="Bogota"/>
    <x v="9"/>
    <x v="5"/>
    <s v="Distribuciones el Sol"/>
    <x v="1"/>
    <s v="Aceite de oliva"/>
    <x v="12"/>
    <n v="298.89999999999998"/>
    <n v="49"/>
    <x v="239"/>
  </r>
  <r>
    <n v="265"/>
    <x v="93"/>
    <n v="7474169055"/>
    <s v="Empresa Z"/>
    <s v="Bogota"/>
    <x v="9"/>
    <x v="5"/>
    <s v="Distribuciones el Sol"/>
    <x v="1"/>
    <s v="Camarones"/>
    <x v="4"/>
    <n v="135.1"/>
    <n v="71"/>
    <x v="240"/>
  </r>
  <r>
    <n v="266"/>
    <x v="56"/>
    <n v="9750138179"/>
    <s v="Empresa Z"/>
    <s v="Bogota"/>
    <x v="9"/>
    <x v="5"/>
    <s v="Distribuciones el Sol"/>
    <x v="1"/>
    <s v="Atún"/>
    <x v="8"/>
    <n v="257.60000000000002"/>
    <n v="10"/>
    <x v="241"/>
  </r>
  <r>
    <n v="267"/>
    <x v="188"/>
    <n v="2294414293"/>
    <s v="Empresa CC"/>
    <s v="Medellin"/>
    <x v="3"/>
    <x v="3"/>
    <s v="Distribuidora Salento"/>
    <x v="0"/>
    <s v="Cerveza"/>
    <x v="0"/>
    <n v="196"/>
    <n v="78"/>
    <x v="242"/>
  </r>
  <r>
    <n v="268"/>
    <x v="189"/>
    <n v="776426288"/>
    <s v="Empresa F"/>
    <s v="Ibague"/>
    <x v="5"/>
    <x v="4"/>
    <s v="Distribuciones el Sol"/>
    <x v="0"/>
    <s v="Chocolate"/>
    <x v="3"/>
    <n v="178.5"/>
    <n v="44"/>
    <x v="135"/>
  </r>
  <r>
    <n v="269"/>
    <x v="190"/>
    <n v="1245231958"/>
    <s v="Empresa D"/>
    <s v="Cali"/>
    <x v="1"/>
    <x v="1"/>
    <s v="Comercializadora el Centro"/>
    <x v="1"/>
    <s v="Mermelada de mora"/>
    <x v="6"/>
    <n v="1134"/>
    <n v="82"/>
    <x v="243"/>
  </r>
  <r>
    <n v="270"/>
    <x v="191"/>
    <n v="2050724971"/>
    <s v="Empresa D"/>
    <s v="Cali"/>
    <x v="1"/>
    <x v="1"/>
    <s v="Comercializadora el Centro"/>
    <x v="1"/>
    <s v="Arroz"/>
    <x v="13"/>
    <n v="98"/>
    <n v="29"/>
    <x v="244"/>
  </r>
  <r>
    <n v="271"/>
    <x v="192"/>
    <n v="9478104719"/>
    <s v="Empresa H"/>
    <s v="Armenia"/>
    <x v="2"/>
    <x v="2"/>
    <s v="Distribuciones el Sol"/>
    <x v="1"/>
    <s v="Mozzarella"/>
    <x v="10"/>
    <n v="487.19999999999987"/>
    <n v="93"/>
    <x v="245"/>
  </r>
  <r>
    <n v="272"/>
    <x v="157"/>
    <n v="7620759943"/>
    <s v="Empresa C"/>
    <s v="Tunja"/>
    <x v="4"/>
    <x v="0"/>
    <s v="Distribuidora Salento"/>
    <x v="2"/>
    <s v="Jarabe"/>
    <x v="7"/>
    <n v="140"/>
    <n v="11"/>
    <x v="246"/>
  </r>
  <r>
    <n v="273"/>
    <x v="193"/>
    <n v="9345003575"/>
    <s v="Empresa C"/>
    <s v="Tunja"/>
    <x v="4"/>
    <x v="0"/>
    <s v="Distribuidora Salento"/>
    <x v="2"/>
    <s v="Salsa BBQ"/>
    <x v="5"/>
    <n v="560"/>
    <n v="91"/>
    <x v="158"/>
  </r>
  <r>
    <n v="274"/>
    <x v="44"/>
    <n v="5988072690"/>
    <s v="Empresa J"/>
    <s v="Cartagena"/>
    <x v="7"/>
    <x v="6"/>
    <s v="Distribuidora Salento"/>
    <x v="1"/>
    <s v="Almendras"/>
    <x v="1"/>
    <n v="140"/>
    <n v="12"/>
    <x v="247"/>
  </r>
  <r>
    <n v="275"/>
    <x v="194"/>
    <n v="5113488625"/>
    <s v="Empresa J"/>
    <s v="Cartagena"/>
    <x v="7"/>
    <x v="6"/>
    <s v="Comercializadora el Centro"/>
    <x v="2"/>
    <s v="Ciruelas secas"/>
    <x v="1"/>
    <n v="49"/>
    <n v="78"/>
    <x v="216"/>
  </r>
  <r>
    <n v="276"/>
    <x v="195"/>
    <n v="8021429259"/>
    <s v="Empresa K"/>
    <s v="Bogota"/>
    <x v="9"/>
    <x v="5"/>
    <s v="Distribuciones el Sol"/>
    <x v="2"/>
    <s v="Salsa BBQ"/>
    <x v="5"/>
    <n v="560"/>
    <n v="60"/>
    <x v="248"/>
  </r>
  <r>
    <n v="277"/>
    <x v="184"/>
    <n v="680211800"/>
    <s v="Empresa A"/>
    <s v="Manizales"/>
    <x v="10"/>
    <x v="2"/>
    <s v="Distribuciones el Sol"/>
    <x v="0"/>
    <s v="Atún"/>
    <x v="8"/>
    <n v="257.60000000000002"/>
    <n v="23"/>
    <x v="249"/>
  </r>
  <r>
    <n v="278"/>
    <x v="104"/>
    <n v="2635806056"/>
    <s v="Empresa BB"/>
    <s v="Pereira"/>
    <x v="6"/>
    <x v="5"/>
    <s v="Distribuciones el Sol"/>
    <x v="1"/>
    <s v="Café"/>
    <x v="0"/>
    <n v="644"/>
    <n v="34"/>
    <x v="250"/>
  </r>
  <r>
    <n v="279"/>
    <x v="93"/>
    <n v="3338515953"/>
    <s v="Empresa I"/>
    <s v="Medellin"/>
    <x v="3"/>
    <x v="7"/>
    <s v="Comercializadora el Centro"/>
    <x v="0"/>
    <s v="Camarones"/>
    <x v="4"/>
    <n v="135.1"/>
    <n v="89"/>
    <x v="251"/>
  </r>
  <r>
    <n v="280"/>
    <x v="85"/>
    <n v="3075758565"/>
    <s v="Empresa F"/>
    <s v="Ibague"/>
    <x v="5"/>
    <x v="4"/>
    <s v="Distribuidora Salento"/>
    <x v="1"/>
    <s v="Chocolate"/>
    <x v="3"/>
    <n v="178.5"/>
    <n v="82"/>
    <x v="252"/>
  </r>
  <r>
    <n v="281"/>
    <x v="89"/>
    <n v="5383209032"/>
    <s v="Empresa H"/>
    <s v="Armenia"/>
    <x v="2"/>
    <x v="2"/>
    <s v="Distribuidora Salento"/>
    <x v="0"/>
    <s v="Chocolate"/>
    <x v="3"/>
    <n v="178.5"/>
    <n v="43"/>
    <x v="253"/>
  </r>
  <r>
    <n v="282"/>
    <x v="1"/>
    <n v="9635546425"/>
    <s v="Empresa J"/>
    <s v="Cartagena"/>
    <x v="7"/>
    <x v="6"/>
    <s v="Comercializadora el Centro"/>
    <x v="0"/>
    <s v="Trisalsina"/>
    <x v="7"/>
    <n v="308"/>
    <n v="96"/>
    <x v="254"/>
  </r>
  <r>
    <n v="283"/>
    <x v="93"/>
    <n v="3501364052"/>
    <s v="Empresa J"/>
    <s v="Cartagena"/>
    <x v="7"/>
    <x v="6"/>
    <s v="Comercializadora el Centro"/>
    <x v="0"/>
    <s v="Galletas de chocolate"/>
    <x v="2"/>
    <n v="128.80000000000001"/>
    <n v="34"/>
    <x v="255"/>
  </r>
  <r>
    <n v="284"/>
    <x v="42"/>
    <n v="2226825043"/>
    <s v="Empresa K"/>
    <s v="Bogota"/>
    <x v="9"/>
    <x v="5"/>
    <s v="Distribuciones el Sol"/>
    <x v="2"/>
    <s v="Ciruelas secas"/>
    <x v="1"/>
    <n v="49"/>
    <n v="42"/>
    <x v="256"/>
  </r>
  <r>
    <n v="285"/>
    <x v="196"/>
    <n v="6321323029"/>
    <s v="Empresa K"/>
    <s v="Bogota"/>
    <x v="9"/>
    <x v="5"/>
    <s v="Distribuciones el Sol"/>
    <x v="2"/>
    <s v="Té verde"/>
    <x v="0"/>
    <n v="41.86"/>
    <n v="100"/>
    <x v="257"/>
  </r>
  <r>
    <n v="286"/>
    <x v="169"/>
    <n v="3775524143"/>
    <s v="Empresa A"/>
    <s v="Manizales"/>
    <x v="10"/>
    <x v="2"/>
    <s v="Comercializadora el Centro"/>
    <x v="2"/>
    <s v="Aromatica"/>
    <x v="0"/>
    <n v="252"/>
    <n v="42"/>
    <x v="258"/>
  </r>
  <r>
    <n v="287"/>
    <x v="197"/>
    <n v="9543041808"/>
    <s v="Empresa A"/>
    <s v="Manizales"/>
    <x v="10"/>
    <x v="2"/>
    <s v="Comercializadora el Centro"/>
    <x v="1"/>
    <s v="Café"/>
    <x v="0"/>
    <n v="644"/>
    <n v="16"/>
    <x v="130"/>
  </r>
  <r>
    <n v="288"/>
    <x v="198"/>
    <n v="547647770"/>
    <s v="Empresa A"/>
    <s v="Manizales"/>
    <x v="10"/>
    <x v="2"/>
    <s v="Distribuidora Salento"/>
    <x v="1"/>
    <s v="Té verde"/>
    <x v="0"/>
    <n v="41.86"/>
    <n v="22"/>
    <x v="259"/>
  </r>
  <r>
    <n v="289"/>
    <x v="85"/>
    <n v="7120228607"/>
    <s v="Empresa BB"/>
    <s v="Pereira"/>
    <x v="6"/>
    <x v="5"/>
    <s v="Distribuciones el Sol"/>
    <x v="1"/>
    <s v="Camarones"/>
    <x v="4"/>
    <n v="135.1"/>
    <n v="46"/>
    <x v="260"/>
  </r>
  <r>
    <n v="290"/>
    <x v="102"/>
    <n v="5554565190"/>
    <s v="Empresa BB"/>
    <s v="Pereira"/>
    <x v="6"/>
    <x v="5"/>
    <s v="Distribuciones el Sol"/>
    <x v="1"/>
    <s v="Atún"/>
    <x v="8"/>
    <n v="257.60000000000002"/>
    <n v="100"/>
    <x v="261"/>
  </r>
  <r>
    <n v="291"/>
    <x v="74"/>
    <n v="1644848787"/>
    <s v="Empresa I"/>
    <s v="Medellin"/>
    <x v="3"/>
    <x v="7"/>
    <s v="Comercializadora el Centro"/>
    <x v="0"/>
    <s v="Ravioli"/>
    <x v="9"/>
    <n v="273"/>
    <n v="87"/>
    <x v="262"/>
  </r>
  <r>
    <n v="292"/>
    <x v="80"/>
    <n v="8273786477"/>
    <s v="Empresa I"/>
    <s v="Medellin"/>
    <x v="3"/>
    <x v="7"/>
    <s v="Comercializadora el Centro"/>
    <x v="0"/>
    <s v="Mozzarella"/>
    <x v="10"/>
    <n v="487.19999999999987"/>
    <n v="58"/>
    <x v="263"/>
  </r>
  <r>
    <n v="293"/>
    <x v="199"/>
    <n v="1397118248"/>
    <s v="Empresa F"/>
    <s v="Ibague"/>
    <x v="5"/>
    <x v="4"/>
    <s v="Distribuidora Salento"/>
    <x v="1"/>
    <s v="Cerveza"/>
    <x v="0"/>
    <n v="196"/>
    <n v="85"/>
    <x v="264"/>
  </r>
  <r>
    <n v="294"/>
    <x v="146"/>
    <n v="4468604310"/>
    <s v="Empresa H"/>
    <s v="Armenia"/>
    <x v="2"/>
    <x v="2"/>
    <s v="Distribuidora Salento"/>
    <x v="0"/>
    <s v="Salsa BBQ"/>
    <x v="5"/>
    <n v="560"/>
    <n v="28"/>
    <x v="139"/>
  </r>
  <r>
    <n v="295"/>
    <x v="46"/>
    <n v="457458721"/>
    <s v="Empresa H"/>
    <s v="Armenia"/>
    <x v="2"/>
    <x v="2"/>
    <s v="Distribuidora Salento"/>
    <x v="0"/>
    <s v="Galletas de chocolate"/>
    <x v="2"/>
    <n v="128.80000000000001"/>
    <n v="19"/>
    <x v="265"/>
  </r>
  <r>
    <n v="296"/>
    <x v="200"/>
    <n v="7184663808"/>
    <s v="Empresa Y"/>
    <s v="Cartagena"/>
    <x v="7"/>
    <x v="6"/>
    <s v="Comercializadora el Centro"/>
    <x v="2"/>
    <s v="Pan Seda"/>
    <x v="2"/>
    <n v="140"/>
    <n v="99"/>
    <x v="82"/>
  </r>
  <r>
    <n v="297"/>
    <x v="201"/>
    <n v="3449599231"/>
    <s v="Empresa Z"/>
    <s v="Bogota"/>
    <x v="9"/>
    <x v="5"/>
    <s v="Distribuciones el Sol"/>
    <x v="1"/>
    <s v="Aceite de oliva"/>
    <x v="12"/>
    <n v="298.89999999999998"/>
    <n v="69"/>
    <x v="266"/>
  </r>
  <r>
    <n v="298"/>
    <x v="169"/>
    <n v="3901461858"/>
    <s v="Empresa Z"/>
    <s v="Bogota"/>
    <x v="9"/>
    <x v="5"/>
    <s v="Distribuciones el Sol"/>
    <x v="1"/>
    <s v="Camarones"/>
    <x v="4"/>
    <n v="135.1"/>
    <n v="37"/>
    <x v="267"/>
  </r>
  <r>
    <n v="299"/>
    <x v="41"/>
    <n v="6798892819"/>
    <s v="Empresa Z"/>
    <s v="Bogota"/>
    <x v="9"/>
    <x v="5"/>
    <s v="Distribuciones el Sol"/>
    <x v="1"/>
    <s v="Atún"/>
    <x v="8"/>
    <n v="257.60000000000002"/>
    <n v="64"/>
    <x v="107"/>
  </r>
  <r>
    <n v="300"/>
    <x v="186"/>
    <n v="6897506437"/>
    <s v="Empresa CC"/>
    <s v="Medellin"/>
    <x v="3"/>
    <x v="3"/>
    <s v="Distribuidora Salento"/>
    <x v="0"/>
    <s v="Cerveza"/>
    <x v="0"/>
    <n v="196"/>
    <n v="38"/>
    <x v="199"/>
  </r>
  <r>
    <n v="301"/>
    <x v="202"/>
    <n v="6298594113"/>
    <s v="Empresa F"/>
    <s v="Ibague"/>
    <x v="5"/>
    <x v="4"/>
    <s v="Distribuciones el Sol"/>
    <x v="0"/>
    <s v="Chocolate"/>
    <x v="3"/>
    <n v="178.5"/>
    <n v="15"/>
    <x v="268"/>
  </r>
  <r>
    <n v="302"/>
    <x v="177"/>
    <n v="6972691420"/>
    <s v="Empresa D"/>
    <s v="Cali"/>
    <x v="1"/>
    <x v="1"/>
    <s v="Comercializadora el Centro"/>
    <x v="1"/>
    <s v="Mermelada de mora"/>
    <x v="6"/>
    <n v="1134"/>
    <n v="52"/>
    <x v="269"/>
  </r>
  <r>
    <n v="303"/>
    <x v="203"/>
    <n v="677992170"/>
    <s v="Empresa D"/>
    <s v="Cali"/>
    <x v="1"/>
    <x v="1"/>
    <s v="Comercializadora el Centro"/>
    <x v="1"/>
    <s v="Arroz"/>
    <x v="13"/>
    <n v="98"/>
    <n v="37"/>
    <x v="58"/>
  </r>
  <r>
    <n v="304"/>
    <x v="204"/>
    <n v="3501827064"/>
    <s v="Empresa H"/>
    <s v="Armenia"/>
    <x v="2"/>
    <x v="2"/>
    <s v="Distribuciones el Sol"/>
    <x v="1"/>
    <s v="Mozzarella"/>
    <x v="10"/>
    <n v="487.19999999999987"/>
    <n v="24"/>
    <x v="270"/>
  </r>
  <r>
    <n v="305"/>
    <x v="205"/>
    <n v="9140892367"/>
    <s v="Empresa C"/>
    <s v="Tunja"/>
    <x v="4"/>
    <x v="0"/>
    <s v="Distribuidora Salento"/>
    <x v="2"/>
    <s v="Jarabe"/>
    <x v="7"/>
    <n v="140"/>
    <n v="36"/>
    <x v="271"/>
  </r>
  <r>
    <n v="306"/>
    <x v="13"/>
    <n v="7570396760"/>
    <s v="Empresa C"/>
    <s v="Tunja"/>
    <x v="4"/>
    <x v="0"/>
    <s v="Distribuidora Salento"/>
    <x v="2"/>
    <s v="Salsa BBQ"/>
    <x v="5"/>
    <n v="560"/>
    <n v="24"/>
    <x v="272"/>
  </r>
  <r>
    <n v="307"/>
    <x v="109"/>
    <n v="5368769086"/>
    <s v="Empresa J"/>
    <s v="Cartagena"/>
    <x v="7"/>
    <x v="6"/>
    <s v="Distribuidora Salento"/>
    <x v="1"/>
    <s v="Almendras"/>
    <x v="1"/>
    <n v="140"/>
    <n v="20"/>
    <x v="273"/>
  </r>
  <r>
    <n v="308"/>
    <x v="149"/>
    <n v="443042127"/>
    <s v="Empresa J"/>
    <s v="Cartagena"/>
    <x v="7"/>
    <x v="6"/>
    <s v="Comercializadora el Centro"/>
    <x v="1"/>
    <s v="Ciruelas secas"/>
    <x v="1"/>
    <n v="49"/>
    <n v="11"/>
    <x v="274"/>
  </r>
  <r>
    <n v="309"/>
    <x v="206"/>
    <n v="3198859022"/>
    <s v="Empresa K"/>
    <s v="Bogota"/>
    <x v="9"/>
    <x v="5"/>
    <s v="Distribuciones el Sol"/>
    <x v="0"/>
    <s v="Salsa BBQ"/>
    <x v="5"/>
    <n v="560"/>
    <n v="78"/>
    <x v="191"/>
  </r>
  <r>
    <n v="310"/>
    <x v="151"/>
    <n v="2982674072"/>
    <s v="Empresa A"/>
    <s v="Manizales"/>
    <x v="10"/>
    <x v="2"/>
    <s v="Distribuciones el Sol"/>
    <x v="0"/>
    <s v="Atún"/>
    <x v="8"/>
    <n v="257.60000000000002"/>
    <n v="76"/>
    <x v="275"/>
  </r>
  <r>
    <n v="311"/>
    <x v="147"/>
    <n v="1636086310"/>
    <s v="Empresa BB"/>
    <s v="Pereira"/>
    <x v="6"/>
    <x v="5"/>
    <s v="Distribuciones el Sol"/>
    <x v="1"/>
    <s v="Café"/>
    <x v="0"/>
    <n v="644"/>
    <n v="57"/>
    <x v="276"/>
  </r>
  <r>
    <n v="312"/>
    <x v="79"/>
    <n v="9879315200"/>
    <s v="Empresa I"/>
    <s v="Medellin"/>
    <x v="3"/>
    <x v="7"/>
    <s v="Comercializadora el Centro"/>
    <x v="0"/>
    <s v="Camarones"/>
    <x v="4"/>
    <n v="135.1"/>
    <n v="14"/>
    <x v="277"/>
  </r>
  <r>
    <n v="313"/>
    <x v="207"/>
    <n v="3833780472"/>
    <s v="Empresa AA"/>
    <s v="Bucaramanga"/>
    <x v="0"/>
    <x v="0"/>
    <s v="Distribuidora Salento"/>
    <x v="0"/>
    <s v="Cerveza"/>
    <x v="0"/>
    <n v="196"/>
    <n v="14"/>
    <x v="278"/>
  </r>
  <r>
    <n v="314"/>
    <x v="208"/>
    <n v="1343389818"/>
    <s v="Empresa AA"/>
    <s v="Bucaramanga"/>
    <x v="0"/>
    <x v="0"/>
    <s v="Distribuidora Salento"/>
    <x v="0"/>
    <s v="Ciruelas secas"/>
    <x v="1"/>
    <n v="49"/>
    <n v="70"/>
    <x v="279"/>
  </r>
  <r>
    <n v="315"/>
    <x v="209"/>
    <n v="3066920858"/>
    <s v="Empresa D"/>
    <s v="Cali"/>
    <x v="1"/>
    <x v="1"/>
    <s v="Comercializadora el Centro"/>
    <x v="1"/>
    <s v="Peras secas"/>
    <x v="1"/>
    <n v="420"/>
    <n v="100"/>
    <x v="280"/>
  </r>
  <r>
    <n v="316"/>
    <x v="50"/>
    <n v="3596038071"/>
    <s v="Empresa D"/>
    <s v="Cali"/>
    <x v="1"/>
    <x v="1"/>
    <s v="Comercializadora el Centro"/>
    <x v="1"/>
    <s v="Manzanas secas"/>
    <x v="1"/>
    <n v="742"/>
    <n v="27"/>
    <x v="281"/>
  </r>
  <r>
    <n v="317"/>
    <x v="24"/>
    <n v="8280434895"/>
    <s v="Empresa D"/>
    <s v="Cali"/>
    <x v="1"/>
    <x v="1"/>
    <s v="Comercializadora el Centro"/>
    <x v="1"/>
    <s v="Ciruelas secas"/>
    <x v="1"/>
    <n v="49"/>
    <n v="70"/>
    <x v="279"/>
  </r>
  <r>
    <n v="318"/>
    <x v="26"/>
    <n v="7983505639"/>
    <s v="Empresa L"/>
    <s v="Bucaramanga"/>
    <x v="0"/>
    <x v="0"/>
    <s v="Distribuidora Salento"/>
    <x v="1"/>
    <s v="Aromatica"/>
    <x v="0"/>
    <n v="252"/>
    <n v="57"/>
    <x v="282"/>
  </r>
  <r>
    <n v="319"/>
    <x v="154"/>
    <n v="4943792001"/>
    <s v="Empresa L"/>
    <s v="Bucaramanga"/>
    <x v="0"/>
    <x v="0"/>
    <s v="Distribuidora Salento"/>
    <x v="1"/>
    <s v="Café"/>
    <x v="0"/>
    <n v="644"/>
    <n v="83"/>
    <x v="283"/>
  </r>
  <r>
    <n v="320"/>
    <x v="210"/>
    <n v="2679766092"/>
    <s v="Empresa H"/>
    <s v="Armenia"/>
    <x v="2"/>
    <x v="2"/>
    <s v="Distribuciones el Sol"/>
    <x v="1"/>
    <s v="Galletas de chocolate"/>
    <x v="2"/>
    <n v="128.80000000000001"/>
    <n v="76"/>
    <x v="284"/>
  </r>
  <r>
    <n v="321"/>
    <x v="211"/>
    <n v="6256032641"/>
    <s v="Empresa D"/>
    <s v="Cali"/>
    <x v="1"/>
    <x v="1"/>
    <s v="Distribuciones el Sol"/>
    <x v="0"/>
    <s v="Galletas de chocolate"/>
    <x v="2"/>
    <n v="128.80000000000001"/>
    <n v="80"/>
    <x v="130"/>
  </r>
  <r>
    <n v="322"/>
    <x v="212"/>
    <n v="8317306577"/>
    <s v="Empresa CC"/>
    <s v="Medellin"/>
    <x v="3"/>
    <x v="3"/>
    <s v="Distribuidora Salento"/>
    <x v="0"/>
    <s v="Chocolate"/>
    <x v="3"/>
    <n v="178.5"/>
    <n v="47"/>
    <x v="285"/>
  </r>
  <r>
    <n v="323"/>
    <x v="118"/>
    <n v="4952054948"/>
    <s v="Empresa C"/>
    <s v="Tunja"/>
    <x v="4"/>
    <x v="0"/>
    <s v="Distribuidora Salento"/>
    <x v="2"/>
    <s v="Camarones"/>
    <x v="4"/>
    <n v="135.1"/>
    <n v="96"/>
    <x v="286"/>
  </r>
  <r>
    <n v="324"/>
    <x v="213"/>
    <n v="7792270317"/>
    <s v="Empresa F"/>
    <s v="Ibague"/>
    <x v="5"/>
    <x v="4"/>
    <s v="Distribuidora Salento"/>
    <x v="1"/>
    <s v="Salsa BBQ"/>
    <x v="5"/>
    <n v="560"/>
    <n v="32"/>
    <x v="287"/>
  </r>
  <r>
    <n v="325"/>
    <x v="10"/>
    <n v="8753687299"/>
    <s v="Empresa BB"/>
    <s v="Pereira"/>
    <x v="6"/>
    <x v="5"/>
    <s v="Distribuciones el Sol"/>
    <x v="0"/>
    <s v="Café"/>
    <x v="0"/>
    <n v="644"/>
    <n v="16"/>
    <x v="130"/>
  </r>
  <r>
    <n v="326"/>
    <x v="212"/>
    <n v="3276376437"/>
    <s v="Empresa H"/>
    <s v="Armenia"/>
    <x v="2"/>
    <x v="2"/>
    <s v="Distribuciones el Sol"/>
    <x v="0"/>
    <s v="Chocolate"/>
    <x v="3"/>
    <n v="178.5"/>
    <n v="41"/>
    <x v="87"/>
  </r>
  <r>
    <n v="327"/>
    <x v="201"/>
    <n v="6189400875"/>
    <s v="Empresa J"/>
    <s v="Cartagena"/>
    <x v="7"/>
    <x v="6"/>
    <s v="Distribuidora Salento"/>
    <x v="1"/>
    <s v="Té verde"/>
    <x v="0"/>
    <n v="41.86"/>
    <n v="41"/>
    <x v="288"/>
  </r>
  <r>
    <n v="328"/>
    <x v="121"/>
    <n v="3440571177"/>
    <s v="Empresa G"/>
    <s v="Neiva"/>
    <x v="8"/>
    <x v="2"/>
    <s v="Distribuidora Salento"/>
    <x v="2"/>
    <s v="Café"/>
    <x v="0"/>
    <n v="644"/>
    <n v="41"/>
    <x v="289"/>
  </r>
  <r>
    <n v="329"/>
    <x v="214"/>
    <n v="8874798513"/>
    <s v="Empresa J"/>
    <s v="Cartagena"/>
    <x v="7"/>
    <x v="6"/>
    <s v="Comercializadora el Centro"/>
    <x v="2"/>
    <s v="Jalea de fresa"/>
    <x v="6"/>
    <n v="350"/>
    <n v="94"/>
    <x v="290"/>
  </r>
  <r>
    <n v="330"/>
    <x v="42"/>
    <n v="9730368433"/>
    <s v="Empresa J"/>
    <s v="Cartagena"/>
    <x v="7"/>
    <x v="6"/>
    <s v="Comercializadora el Centro"/>
    <x v="1"/>
    <s v="Trisalsina"/>
    <x v="7"/>
    <n v="308"/>
    <n v="20"/>
    <x v="291"/>
  </r>
  <r>
    <n v="331"/>
    <x v="180"/>
    <n v="6592275352"/>
    <s v="Empresa J"/>
    <s v="Cartagena"/>
    <x v="7"/>
    <x v="6"/>
    <s v="Comercializadora el Centro"/>
    <x v="2"/>
    <s v="Galletas de chocolate"/>
    <x v="2"/>
    <n v="128.80000000000001"/>
    <n v="13"/>
    <x v="292"/>
  </r>
  <r>
    <n v="332"/>
    <x v="48"/>
    <n v="9303282439"/>
    <s v="Empresa K"/>
    <s v="Bogota"/>
    <x v="9"/>
    <x v="5"/>
    <s v="Distribuciones el Sol"/>
    <x v="0"/>
    <s v="Ciruelas secas"/>
    <x v="1"/>
    <n v="49"/>
    <n v="74"/>
    <x v="58"/>
  </r>
  <r>
    <n v="333"/>
    <x v="168"/>
    <n v="8998167680"/>
    <s v="Empresa K"/>
    <s v="Bogota"/>
    <x v="9"/>
    <x v="5"/>
    <s v="Distribuciones el Sol"/>
    <x v="0"/>
    <s v="Té verde"/>
    <x v="0"/>
    <n v="41.86"/>
    <n v="53"/>
    <x v="293"/>
  </r>
  <r>
    <n v="334"/>
    <x v="215"/>
    <n v="2058395697"/>
    <s v="Empresa A"/>
    <s v="Manizales"/>
    <x v="10"/>
    <x v="2"/>
    <s v="Distribuciones el Sol"/>
    <x v="2"/>
    <s v="Aromatica"/>
    <x v="0"/>
    <n v="252"/>
    <n v="99"/>
    <x v="294"/>
  </r>
  <r>
    <n v="335"/>
    <x v="216"/>
    <n v="5534305664"/>
    <s v="Empresa A"/>
    <s v="Manizales"/>
    <x v="10"/>
    <x v="2"/>
    <s v="Comercializadora el Centro"/>
    <x v="1"/>
    <s v="Café"/>
    <x v="0"/>
    <n v="644"/>
    <n v="89"/>
    <x v="295"/>
  </r>
  <r>
    <n v="336"/>
    <x v="178"/>
    <n v="5417309832"/>
    <s v="Empresa A"/>
    <s v="Manizales"/>
    <x v="10"/>
    <x v="2"/>
    <s v="Comercializadora el Centro"/>
    <x v="1"/>
    <s v="Té verde"/>
    <x v="0"/>
    <n v="41.86"/>
    <n v="64"/>
    <x v="202"/>
  </r>
  <r>
    <n v="337"/>
    <x v="98"/>
    <n v="7626114952"/>
    <s v="Empresa BB"/>
    <s v="Pereira"/>
    <x v="6"/>
    <x v="5"/>
    <s v="Distribuciones el Sol"/>
    <x v="1"/>
    <s v="Camarones"/>
    <x v="4"/>
    <n v="135.1"/>
    <n v="98"/>
    <x v="296"/>
  </r>
  <r>
    <n v="338"/>
    <x v="217"/>
    <n v="7075151442"/>
    <s v="Empresa BB"/>
    <s v="Pereira"/>
    <x v="6"/>
    <x v="5"/>
    <s v="Distribuciones el Sol"/>
    <x v="1"/>
    <s v="Atún"/>
    <x v="8"/>
    <n v="257.60000000000002"/>
    <n v="86"/>
    <x v="297"/>
  </r>
  <r>
    <n v="339"/>
    <x v="138"/>
    <n v="4170346813"/>
    <s v="Empresa I"/>
    <s v="Medellin"/>
    <x v="3"/>
    <x v="7"/>
    <s v="Comercializadora el Centro"/>
    <x v="0"/>
    <s v="Ravioli"/>
    <x v="9"/>
    <n v="273"/>
    <n v="20"/>
    <x v="298"/>
  </r>
  <r>
    <n v="340"/>
    <x v="31"/>
    <n v="7181884746"/>
    <s v="Empresa I"/>
    <s v="Medellin"/>
    <x v="3"/>
    <x v="7"/>
    <s v="Comercializadora el Centro"/>
    <x v="0"/>
    <s v="Mozzarella"/>
    <x v="10"/>
    <n v="487.19999999999987"/>
    <n v="69"/>
    <x v="299"/>
  </r>
  <r>
    <n v="341"/>
    <x v="218"/>
    <n v="654398232"/>
    <s v="Empresa F"/>
    <s v="Ibague"/>
    <x v="5"/>
    <x v="4"/>
    <s v="Distribuidora Salento"/>
    <x v="1"/>
    <s v="Cerveza"/>
    <x v="0"/>
    <n v="196"/>
    <n v="68"/>
    <x v="300"/>
  </r>
  <r>
    <n v="342"/>
    <x v="78"/>
    <n v="6559752885"/>
    <s v="Empresa H"/>
    <s v="Armenia"/>
    <x v="2"/>
    <x v="2"/>
    <s v="Distribuidora Salento"/>
    <x v="0"/>
    <s v="Salsa BBQ"/>
    <x v="5"/>
    <n v="560"/>
    <n v="52"/>
    <x v="301"/>
  </r>
  <r>
    <n v="343"/>
    <x v="173"/>
    <n v="9428165637"/>
    <s v="Empresa H"/>
    <s v="Armenia"/>
    <x v="2"/>
    <x v="2"/>
    <s v="Distribuidora Salento"/>
    <x v="0"/>
    <s v="Galletas de chocolate"/>
    <x v="2"/>
    <n v="128.80000000000001"/>
    <n v="40"/>
    <x v="302"/>
  </r>
  <r>
    <n v="344"/>
    <x v="11"/>
    <n v="9902612158"/>
    <s v="Empresa Y"/>
    <s v="Cartagena"/>
    <x v="7"/>
    <x v="6"/>
    <s v="Comercializadora el Centro"/>
    <x v="2"/>
    <s v="Pan Seda"/>
    <x v="2"/>
    <n v="140"/>
    <n v="100"/>
    <x v="116"/>
  </r>
  <r>
    <n v="345"/>
    <x v="53"/>
    <n v="9601886174"/>
    <s v="Empresa Z"/>
    <s v="Bogota"/>
    <x v="9"/>
    <x v="5"/>
    <s v="Distribuciones el Sol"/>
    <x v="1"/>
    <s v="Aceite de oliva"/>
    <x v="12"/>
    <n v="298.89999999999998"/>
    <n v="88"/>
    <x v="303"/>
  </r>
  <r>
    <n v="346"/>
    <x v="219"/>
    <n v="9194823962"/>
    <s v="Empresa Z"/>
    <s v="Bogota"/>
    <x v="9"/>
    <x v="5"/>
    <s v="Distribuciones el Sol"/>
    <x v="1"/>
    <s v="Camarones"/>
    <x v="4"/>
    <n v="135.1"/>
    <n v="46"/>
    <x v="260"/>
  </r>
  <r>
    <n v="347"/>
    <x v="216"/>
    <n v="3580433044"/>
    <s v="Empresa Z"/>
    <s v="Bogota"/>
    <x v="9"/>
    <x v="5"/>
    <s v="Distribuciones el Sol"/>
    <x v="1"/>
    <s v="Atún"/>
    <x v="8"/>
    <n v="257.60000000000002"/>
    <n v="93"/>
    <x v="304"/>
  </r>
  <r>
    <n v="348"/>
    <x v="146"/>
    <n v="7020598503"/>
    <s v="Empresa CC"/>
    <s v="Medellin"/>
    <x v="3"/>
    <x v="3"/>
    <s v="Distribuidora Salento"/>
    <x v="0"/>
    <s v="Cerveza"/>
    <x v="0"/>
    <n v="196"/>
    <n v="96"/>
    <x v="305"/>
  </r>
  <r>
    <n v="349"/>
    <x v="98"/>
    <n v="8040421717"/>
    <s v="Empresa F"/>
    <s v="Ibague"/>
    <x v="5"/>
    <x v="4"/>
    <s v="Distribuciones el Sol"/>
    <x v="0"/>
    <s v="Chocolate"/>
    <x v="3"/>
    <n v="178.5"/>
    <n v="12"/>
    <x v="306"/>
  </r>
  <r>
    <n v="350"/>
    <x v="219"/>
    <n v="3654530055"/>
    <s v="Empresa D"/>
    <s v="Cali"/>
    <x v="1"/>
    <x v="1"/>
    <s v="Comercializadora el Centro"/>
    <x v="1"/>
    <s v="Mermelada de mora"/>
    <x v="6"/>
    <n v="1134"/>
    <n v="38"/>
    <x v="307"/>
  </r>
  <r>
    <n v="351"/>
    <x v="220"/>
    <n v="2061527783"/>
    <s v="Empresa D"/>
    <s v="Cali"/>
    <x v="1"/>
    <x v="1"/>
    <s v="Comercializadora el Centro"/>
    <x v="1"/>
    <s v="Arroz"/>
    <x v="13"/>
    <n v="98"/>
    <n v="42"/>
    <x v="108"/>
  </r>
  <r>
    <n v="352"/>
    <x v="219"/>
    <n v="7896754000"/>
    <s v="Empresa H"/>
    <s v="Armenia"/>
    <x v="2"/>
    <x v="2"/>
    <s v="Distribuciones el Sol"/>
    <x v="1"/>
    <s v="Mozzarella"/>
    <x v="10"/>
    <n v="487.19999999999987"/>
    <n v="100"/>
    <x v="308"/>
  </r>
  <r>
    <n v="353"/>
    <x v="221"/>
    <n v="7608023281"/>
    <s v="Empresa C"/>
    <s v="Tunja"/>
    <x v="4"/>
    <x v="0"/>
    <s v="Distribuidora Salento"/>
    <x v="2"/>
    <s v="Jarabe"/>
    <x v="7"/>
    <n v="140"/>
    <n v="89"/>
    <x v="309"/>
  </r>
  <r>
    <n v="354"/>
    <x v="8"/>
    <n v="1088259448"/>
    <s v="Empresa C"/>
    <s v="Tunja"/>
    <x v="4"/>
    <x v="0"/>
    <s v="Distribuidora Salento"/>
    <x v="2"/>
    <s v="Salsa BBQ"/>
    <x v="5"/>
    <n v="560"/>
    <n v="12"/>
    <x v="60"/>
  </r>
  <r>
    <n v="355"/>
    <x v="222"/>
    <n v="8019968936"/>
    <s v="Empresa J"/>
    <s v="Cartagena"/>
    <x v="7"/>
    <x v="6"/>
    <s v="Distribuidora Salento"/>
    <x v="1"/>
    <s v="Almendras"/>
    <x v="1"/>
    <n v="140"/>
    <n v="97"/>
    <x v="310"/>
  </r>
  <r>
    <n v="356"/>
    <x v="175"/>
    <n v="767630917"/>
    <s v="Empresa J"/>
    <s v="Cartagena"/>
    <x v="7"/>
    <x v="6"/>
    <s v="Comercializadora el Centro"/>
    <x v="0"/>
    <s v="Ciruelas secas"/>
    <x v="1"/>
    <n v="49"/>
    <n v="53"/>
    <x v="311"/>
  </r>
  <r>
    <n v="357"/>
    <x v="223"/>
    <n v="8764802979"/>
    <s v="Empresa K"/>
    <s v="Bogota"/>
    <x v="9"/>
    <x v="5"/>
    <s v="Distribuciones el Sol"/>
    <x v="0"/>
    <s v="Salsa BBQ"/>
    <x v="5"/>
    <n v="560"/>
    <n v="61"/>
    <x v="312"/>
  </r>
  <r>
    <n v="358"/>
    <x v="224"/>
    <n v="1212476279"/>
    <s v="Empresa A"/>
    <s v="Manizales"/>
    <x v="10"/>
    <x v="2"/>
    <s v="Distribuciones el Sol"/>
    <x v="2"/>
    <s v="Atún"/>
    <x v="8"/>
    <n v="257.60000000000002"/>
    <n v="45"/>
    <x v="313"/>
  </r>
  <r>
    <n v="359"/>
    <x v="200"/>
    <n v="8659179079"/>
    <s v="Empresa BB"/>
    <s v="Pereira"/>
    <x v="6"/>
    <x v="5"/>
    <s v="Distribuciones el Sol"/>
    <x v="1"/>
    <s v="Café"/>
    <x v="0"/>
    <n v="644"/>
    <n v="43"/>
    <x v="314"/>
  </r>
  <r>
    <n v="360"/>
    <x v="225"/>
    <n v="4311827425"/>
    <s v="Empresa I"/>
    <s v="Medellin"/>
    <x v="3"/>
    <x v="7"/>
    <s v="Comercializadora el Centro"/>
    <x v="0"/>
    <s v="Camarones"/>
    <x v="4"/>
    <n v="135.1"/>
    <n v="18"/>
    <x v="315"/>
  </r>
  <r>
    <n v="361"/>
    <x v="62"/>
    <n v="7400116244"/>
    <s v="Empresa F"/>
    <s v="Ibague"/>
    <x v="5"/>
    <x v="4"/>
    <s v="Distribuidora Salento"/>
    <x v="1"/>
    <s v="Chocolate"/>
    <x v="3"/>
    <n v="178.5"/>
    <n v="41"/>
    <x v="87"/>
  </r>
  <r>
    <n v="362"/>
    <x v="125"/>
    <n v="8550780121"/>
    <s v="Empresa H"/>
    <s v="Armenia"/>
    <x v="2"/>
    <x v="2"/>
    <s v="Distribuidora Salento"/>
    <x v="0"/>
    <s v="Chocolate"/>
    <x v="3"/>
    <n v="178.5"/>
    <n v="19"/>
    <x v="109"/>
  </r>
  <r>
    <n v="363"/>
    <x v="103"/>
    <n v="9461451917"/>
    <s v="Empresa Y"/>
    <s v="Cartagena"/>
    <x v="7"/>
    <x v="6"/>
    <s v="Comercializadora el Centro"/>
    <x v="2"/>
    <s v="Trisalsina"/>
    <x v="7"/>
    <n v="308"/>
    <n v="65"/>
    <x v="316"/>
  </r>
  <r>
    <n v="364"/>
    <x v="139"/>
    <n v="3160888933"/>
    <s v="Empresa Z"/>
    <s v="Bogota"/>
    <x v="9"/>
    <x v="5"/>
    <s v="Distribuciones el Sol"/>
    <x v="1"/>
    <s v="Jalea de fresa"/>
    <x v="6"/>
    <n v="350"/>
    <n v="13"/>
    <x v="317"/>
  </r>
  <r>
    <n v="365"/>
    <x v="122"/>
    <n v="6433254443"/>
    <s v="Empresa CC"/>
    <s v="Medellin"/>
    <x v="3"/>
    <x v="3"/>
    <s v="Distribuidora Salento"/>
    <x v="0"/>
    <s v="Cóctel de frutas"/>
    <x v="11"/>
    <n v="546"/>
    <n v="54"/>
    <x v="318"/>
  </r>
  <r>
    <n v="366"/>
    <x v="113"/>
    <n v="8977261174"/>
    <s v="Empresa F"/>
    <s v="Ibague"/>
    <x v="5"/>
    <x v="4"/>
    <s v="Distribuciones el Sol"/>
    <x v="0"/>
    <s v="Peras secas"/>
    <x v="1"/>
    <n v="420"/>
    <n v="33"/>
    <x v="82"/>
  </r>
  <r>
    <n v="367"/>
    <x v="64"/>
    <n v="7770716054"/>
    <s v="Empresa F"/>
    <s v="Ibague"/>
    <x v="5"/>
    <x v="4"/>
    <s v="Distribuciones el Sol"/>
    <x v="0"/>
    <s v="Manzanas secas"/>
    <x v="1"/>
    <n v="742"/>
    <n v="34"/>
    <x v="319"/>
  </r>
  <r>
    <n v="368"/>
    <x v="226"/>
    <n v="2754807386"/>
    <s v="Empresa D"/>
    <s v="Cali"/>
    <x v="1"/>
    <x v="1"/>
    <s v="Distribuidora Salento"/>
    <x v="2"/>
    <s v="Pasta penne"/>
    <x v="9"/>
    <n v="532"/>
    <n v="59"/>
    <x v="320"/>
  </r>
  <r>
    <n v="369"/>
    <x v="227"/>
    <n v="3873424489"/>
    <s v="Empresa C"/>
    <s v="Tunja"/>
    <x v="4"/>
    <x v="0"/>
    <s v="Comercializadora el Centro"/>
    <x v="0"/>
    <s v="Té verde"/>
    <x v="0"/>
    <n v="41.86"/>
    <n v="24"/>
    <x v="321"/>
  </r>
  <r>
    <n v="197"/>
    <x v="153"/>
    <n v="1007419194"/>
    <s v="Empresa J"/>
    <s v="Cartagena"/>
    <x v="7"/>
    <x v="6"/>
    <s v="Comercializadora el Centro"/>
    <x v="0"/>
    <s v="Galletas de chocolate"/>
    <x v="2"/>
    <n v="128.80000000000001"/>
    <n v="96"/>
    <x v="182"/>
  </r>
  <r>
    <n v="37"/>
    <x v="31"/>
    <n v="6935804403"/>
    <s v="Empresa J"/>
    <s v="Cartagena"/>
    <x v="7"/>
    <x v="6"/>
    <s v="Comercializadora el Centro"/>
    <x v="1"/>
    <s v="Ciruelas secas"/>
    <x v="1"/>
    <n v="49"/>
    <n v="49"/>
    <x v="33"/>
  </r>
  <r>
    <n v="16"/>
    <x v="14"/>
    <n v="6983099686"/>
    <s v="Empresa G"/>
    <s v="Neiva"/>
    <x v="8"/>
    <x v="2"/>
    <s v="Distribuidora Salento"/>
    <x v="2"/>
    <s v="Café"/>
    <x v="0"/>
    <n v="45"/>
    <n v="97"/>
    <x v="322"/>
  </r>
  <r>
    <n v="314"/>
    <x v="208"/>
    <n v="1343389818"/>
    <s v="Empresa AA"/>
    <s v="Bucaramanga"/>
    <x v="0"/>
    <x v="0"/>
    <s v="Distribuidora Salento"/>
    <x v="0"/>
    <s v="Ciruelas secas"/>
    <x v="1"/>
    <n v="49"/>
    <n v="70"/>
    <x v="279"/>
  </r>
  <r>
    <n v="61"/>
    <x v="31"/>
    <n v="498762200"/>
    <s v="Empresa F"/>
    <s v="Ibague"/>
    <x v="5"/>
    <x v="4"/>
    <s v="Distribuciones el Sol"/>
    <x v="0"/>
    <s v="Chocolate"/>
    <x v="3"/>
    <n v="178.5"/>
    <n v="16"/>
    <x v="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E64DCD-28A9-4AC8-BAFB-E73CDFC20E1F}" name="TablaDinámica4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A33:B48" firstHeaderRow="1" firstDataRow="1" firstDataCol="1"/>
  <pivotFields count="16">
    <pivotField showAll="0"/>
    <pivotField numFmtId="14" showAll="0">
      <items count="229">
        <item x="70"/>
        <item x="216"/>
        <item x="102"/>
        <item x="206"/>
        <item x="11"/>
        <item x="141"/>
        <item x="28"/>
        <item x="119"/>
        <item x="175"/>
        <item x="162"/>
        <item x="152"/>
        <item x="52"/>
        <item x="210"/>
        <item x="176"/>
        <item x="137"/>
        <item x="12"/>
        <item x="7"/>
        <item x="145"/>
        <item x="74"/>
        <item x="212"/>
        <item x="180"/>
        <item x="222"/>
        <item x="215"/>
        <item x="18"/>
        <item x="97"/>
        <item x="182"/>
        <item x="163"/>
        <item x="217"/>
        <item x="40"/>
        <item x="48"/>
        <item x="196"/>
        <item x="220"/>
        <item x="23"/>
        <item x="164"/>
        <item x="105"/>
        <item x="66"/>
        <item x="56"/>
        <item x="78"/>
        <item x="140"/>
        <item x="166"/>
        <item x="209"/>
        <item x="160"/>
        <item x="86"/>
        <item x="153"/>
        <item x="184"/>
        <item x="188"/>
        <item x="2"/>
        <item x="195"/>
        <item x="101"/>
        <item x="20"/>
        <item x="39"/>
        <item x="41"/>
        <item x="80"/>
        <item x="76"/>
        <item x="171"/>
        <item x="158"/>
        <item x="121"/>
        <item x="112"/>
        <item x="0"/>
        <item x="191"/>
        <item x="156"/>
        <item x="143"/>
        <item x="83"/>
        <item x="16"/>
        <item x="225"/>
        <item x="64"/>
        <item x="168"/>
        <item x="135"/>
        <item x="110"/>
        <item x="4"/>
        <item x="57"/>
        <item x="125"/>
        <item x="90"/>
        <item x="116"/>
        <item x="126"/>
        <item x="32"/>
        <item x="207"/>
        <item x="198"/>
        <item x="219"/>
        <item x="146"/>
        <item x="150"/>
        <item x="61"/>
        <item x="129"/>
        <item x="47"/>
        <item x="25"/>
        <item x="60"/>
        <item x="29"/>
        <item x="132"/>
        <item x="3"/>
        <item x="214"/>
        <item x="63"/>
        <item x="167"/>
        <item x="205"/>
        <item x="31"/>
        <item x="34"/>
        <item x="177"/>
        <item x="113"/>
        <item x="227"/>
        <item x="178"/>
        <item x="200"/>
        <item x="67"/>
        <item x="42"/>
        <item x="22"/>
        <item x="77"/>
        <item x="65"/>
        <item x="154"/>
        <item x="36"/>
        <item x="9"/>
        <item x="183"/>
        <item x="120"/>
        <item x="155"/>
        <item x="142"/>
        <item x="14"/>
        <item x="62"/>
        <item x="75"/>
        <item x="131"/>
        <item x="96"/>
        <item x="189"/>
        <item x="82"/>
        <item x="88"/>
        <item x="139"/>
        <item x="194"/>
        <item x="69"/>
        <item x="53"/>
        <item x="165"/>
        <item x="13"/>
        <item x="148"/>
        <item x="21"/>
        <item x="103"/>
        <item x="151"/>
        <item x="197"/>
        <item x="10"/>
        <item x="122"/>
        <item x="115"/>
        <item x="133"/>
        <item x="58"/>
        <item x="117"/>
        <item x="24"/>
        <item x="124"/>
        <item x="111"/>
        <item x="114"/>
        <item x="213"/>
        <item x="199"/>
        <item x="204"/>
        <item x="134"/>
        <item x="15"/>
        <item x="1"/>
        <item x="79"/>
        <item x="35"/>
        <item x="72"/>
        <item x="93"/>
        <item x="87"/>
        <item x="50"/>
        <item x="161"/>
        <item x="187"/>
        <item x="203"/>
        <item x="172"/>
        <item x="106"/>
        <item x="128"/>
        <item x="109"/>
        <item x="201"/>
        <item x="45"/>
        <item x="33"/>
        <item x="104"/>
        <item x="107"/>
        <item x="99"/>
        <item x="179"/>
        <item x="84"/>
        <item x="192"/>
        <item x="136"/>
        <item x="71"/>
        <item x="81"/>
        <item x="98"/>
        <item x="92"/>
        <item x="73"/>
        <item x="85"/>
        <item x="43"/>
        <item x="190"/>
        <item x="181"/>
        <item x="59"/>
        <item x="54"/>
        <item x="147"/>
        <item x="108"/>
        <item x="118"/>
        <item x="91"/>
        <item x="44"/>
        <item x="202"/>
        <item x="37"/>
        <item x="186"/>
        <item x="157"/>
        <item x="130"/>
        <item x="6"/>
        <item x="224"/>
        <item x="19"/>
        <item x="159"/>
        <item x="127"/>
        <item x="173"/>
        <item x="185"/>
        <item x="27"/>
        <item x="26"/>
        <item x="223"/>
        <item x="68"/>
        <item x="174"/>
        <item x="49"/>
        <item x="211"/>
        <item x="100"/>
        <item x="8"/>
        <item x="89"/>
        <item x="208"/>
        <item x="149"/>
        <item x="38"/>
        <item x="138"/>
        <item x="169"/>
        <item x="123"/>
        <item x="51"/>
        <item x="17"/>
        <item x="193"/>
        <item x="55"/>
        <item x="170"/>
        <item x="46"/>
        <item x="226"/>
        <item x="95"/>
        <item x="5"/>
        <item x="221"/>
        <item x="144"/>
        <item x="94"/>
        <item x="30"/>
        <item x="218"/>
        <item t="default"/>
      </items>
    </pivotField>
    <pivotField showAll="0"/>
    <pivotField showAll="0"/>
    <pivotField showAll="0"/>
    <pivotField showAll="0">
      <items count="12">
        <item x="3"/>
        <item x="9"/>
        <item x="7"/>
        <item x="4"/>
        <item x="10"/>
        <item x="8"/>
        <item x="2"/>
        <item x="6"/>
        <item x="0"/>
        <item x="5"/>
        <item x="1"/>
        <item t="default"/>
      </items>
    </pivotField>
    <pivotField showAll="0">
      <items count="9">
        <item x="1"/>
        <item x="5"/>
        <item x="3"/>
        <item x="6"/>
        <item x="0"/>
        <item x="4"/>
        <item x="2"/>
        <item x="7"/>
        <item t="default"/>
      </items>
    </pivotField>
    <pivotField showAll="0"/>
    <pivotField showAll="0">
      <items count="4">
        <item x="0"/>
        <item x="2"/>
        <item x="1"/>
        <item t="default"/>
      </items>
    </pivotField>
    <pivotField showAll="0"/>
    <pivotField axis="axisRow" showAll="0" sortType="ascending">
      <items count="15">
        <item x="12"/>
        <item x="0"/>
        <item x="8"/>
        <item x="7"/>
        <item x="3"/>
        <item x="1"/>
        <item x="11"/>
        <item x="13"/>
        <item x="6"/>
        <item x="9"/>
        <item x="2"/>
        <item x="10"/>
        <item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0"/>
  </rowFields>
  <rowItems count="15">
    <i>
      <x v="7"/>
    </i>
    <i>
      <x v="6"/>
    </i>
    <i>
      <x/>
    </i>
    <i>
      <x v="13"/>
    </i>
    <i>
      <x v="4"/>
    </i>
    <i>
      <x v="10"/>
    </i>
    <i>
      <x v="9"/>
    </i>
    <i>
      <x v="3"/>
    </i>
    <i>
      <x v="5"/>
    </i>
    <i>
      <x v="2"/>
    </i>
    <i>
      <x v="11"/>
    </i>
    <i>
      <x v="8"/>
    </i>
    <i>
      <x v="12"/>
    </i>
    <i>
      <x v="1"/>
    </i>
    <i t="grand">
      <x/>
    </i>
  </rowItems>
  <colItems count="1">
    <i/>
  </colItems>
  <dataFields count="1">
    <dataField name="Suma de Ventas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8454B4-1629-4A01-99B5-75F2E77DE3F5}" name="TablaDinámica3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A17:B30" firstHeaderRow="1" firstDataRow="1" firstDataCol="1"/>
  <pivotFields count="16">
    <pivotField showAll="0"/>
    <pivotField axis="axisRow" numFmtId="14" showAll="0">
      <items count="229">
        <item x="70"/>
        <item x="216"/>
        <item x="102"/>
        <item x="206"/>
        <item x="11"/>
        <item x="141"/>
        <item x="28"/>
        <item x="119"/>
        <item x="175"/>
        <item x="162"/>
        <item x="152"/>
        <item x="52"/>
        <item x="210"/>
        <item x="176"/>
        <item x="137"/>
        <item x="12"/>
        <item x="7"/>
        <item x="145"/>
        <item x="74"/>
        <item x="212"/>
        <item x="180"/>
        <item x="222"/>
        <item x="215"/>
        <item x="18"/>
        <item x="97"/>
        <item x="182"/>
        <item x="163"/>
        <item x="217"/>
        <item x="40"/>
        <item x="48"/>
        <item x="196"/>
        <item x="220"/>
        <item x="23"/>
        <item x="164"/>
        <item x="105"/>
        <item x="66"/>
        <item x="56"/>
        <item x="78"/>
        <item x="140"/>
        <item x="166"/>
        <item x="209"/>
        <item x="160"/>
        <item x="86"/>
        <item x="153"/>
        <item x="184"/>
        <item x="188"/>
        <item x="2"/>
        <item x="195"/>
        <item x="101"/>
        <item x="20"/>
        <item x="39"/>
        <item x="41"/>
        <item x="80"/>
        <item x="76"/>
        <item x="171"/>
        <item x="158"/>
        <item x="121"/>
        <item x="112"/>
        <item x="0"/>
        <item x="191"/>
        <item x="156"/>
        <item x="143"/>
        <item x="83"/>
        <item x="16"/>
        <item x="225"/>
        <item x="64"/>
        <item x="168"/>
        <item x="135"/>
        <item x="110"/>
        <item x="4"/>
        <item x="57"/>
        <item x="125"/>
        <item x="90"/>
        <item x="116"/>
        <item x="126"/>
        <item x="32"/>
        <item x="207"/>
        <item x="198"/>
        <item x="219"/>
        <item x="146"/>
        <item x="150"/>
        <item x="61"/>
        <item x="129"/>
        <item x="47"/>
        <item x="25"/>
        <item x="60"/>
        <item x="29"/>
        <item x="132"/>
        <item x="3"/>
        <item x="214"/>
        <item x="63"/>
        <item x="167"/>
        <item x="205"/>
        <item x="31"/>
        <item x="34"/>
        <item x="177"/>
        <item x="113"/>
        <item x="227"/>
        <item x="178"/>
        <item x="200"/>
        <item x="67"/>
        <item x="42"/>
        <item x="22"/>
        <item x="77"/>
        <item x="65"/>
        <item x="154"/>
        <item x="36"/>
        <item x="9"/>
        <item x="183"/>
        <item x="120"/>
        <item x="155"/>
        <item x="142"/>
        <item x="14"/>
        <item x="62"/>
        <item x="75"/>
        <item x="131"/>
        <item x="96"/>
        <item x="189"/>
        <item x="82"/>
        <item x="88"/>
        <item x="139"/>
        <item x="194"/>
        <item x="69"/>
        <item x="53"/>
        <item x="165"/>
        <item x="13"/>
        <item x="148"/>
        <item x="21"/>
        <item x="103"/>
        <item x="151"/>
        <item x="197"/>
        <item x="10"/>
        <item x="122"/>
        <item x="115"/>
        <item x="133"/>
        <item x="58"/>
        <item x="117"/>
        <item x="24"/>
        <item x="124"/>
        <item x="111"/>
        <item x="114"/>
        <item x="213"/>
        <item x="199"/>
        <item x="204"/>
        <item x="134"/>
        <item x="15"/>
        <item x="1"/>
        <item x="79"/>
        <item x="35"/>
        <item x="72"/>
        <item x="93"/>
        <item x="87"/>
        <item x="50"/>
        <item x="161"/>
        <item x="187"/>
        <item x="203"/>
        <item x="172"/>
        <item x="106"/>
        <item x="128"/>
        <item x="109"/>
        <item x="201"/>
        <item x="45"/>
        <item x="33"/>
        <item x="104"/>
        <item x="107"/>
        <item x="99"/>
        <item x="179"/>
        <item x="84"/>
        <item x="192"/>
        <item x="136"/>
        <item x="71"/>
        <item x="81"/>
        <item x="98"/>
        <item x="92"/>
        <item x="73"/>
        <item x="85"/>
        <item x="43"/>
        <item x="190"/>
        <item x="181"/>
        <item x="59"/>
        <item x="54"/>
        <item x="147"/>
        <item x="108"/>
        <item x="118"/>
        <item x="91"/>
        <item x="44"/>
        <item x="202"/>
        <item x="37"/>
        <item x="186"/>
        <item x="157"/>
        <item x="130"/>
        <item x="6"/>
        <item x="224"/>
        <item x="19"/>
        <item x="159"/>
        <item x="127"/>
        <item x="173"/>
        <item x="185"/>
        <item x="27"/>
        <item x="26"/>
        <item x="223"/>
        <item x="68"/>
        <item x="174"/>
        <item x="49"/>
        <item x="211"/>
        <item x="100"/>
        <item x="8"/>
        <item x="89"/>
        <item x="208"/>
        <item x="149"/>
        <item x="38"/>
        <item x="138"/>
        <item x="169"/>
        <item x="123"/>
        <item x="51"/>
        <item x="17"/>
        <item x="193"/>
        <item x="55"/>
        <item x="170"/>
        <item x="46"/>
        <item x="226"/>
        <item x="95"/>
        <item x="5"/>
        <item x="221"/>
        <item x="144"/>
        <item x="94"/>
        <item x="30"/>
        <item x="218"/>
        <item t="default"/>
      </items>
    </pivotField>
    <pivotField showAll="0"/>
    <pivotField showAll="0"/>
    <pivotField showAll="0"/>
    <pivotField showAll="0">
      <items count="12">
        <item x="3"/>
        <item x="9"/>
        <item x="7"/>
        <item x="4"/>
        <item x="10"/>
        <item x="8"/>
        <item x="2"/>
        <item x="6"/>
        <item x="0"/>
        <item x="5"/>
        <item x="1"/>
        <item t="default"/>
      </items>
    </pivotField>
    <pivotField showAll="0">
      <items count="9">
        <item x="1"/>
        <item x="5"/>
        <item x="3"/>
        <item x="6"/>
        <item x="0"/>
        <item x="4"/>
        <item x="2"/>
        <item x="7"/>
        <item t="default"/>
      </items>
    </pivotField>
    <pivotField showAll="0"/>
    <pivotField showAll="0">
      <items count="4">
        <item x="0"/>
        <item x="2"/>
        <item x="1"/>
        <item t="default"/>
      </items>
    </pivotField>
    <pivotField showAll="0"/>
    <pivotField showAll="0">
      <items count="15">
        <item x="12"/>
        <item x="0"/>
        <item x="8"/>
        <item x="7"/>
        <item x="3"/>
        <item x="1"/>
        <item x="11"/>
        <item x="13"/>
        <item x="6"/>
        <item x="9"/>
        <item x="2"/>
        <item x="10"/>
        <item x="5"/>
        <item x="4"/>
        <item t="default"/>
      </items>
    </pivotField>
    <pivotField showAll="0"/>
    <pivotField showAll="0"/>
    <pivotField dataField="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5"/>
    <field x="14"/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a de Ventas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1CBED-0B3A-4D1C-A5F5-2AF4A47D2F8D}" name="TablaDinámica1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A5:B14" firstHeaderRow="1" firstDataRow="1" firstDataCol="1"/>
  <pivotFields count="16">
    <pivotField showAll="0"/>
    <pivotField numFmtId="14" showAll="0">
      <items count="229">
        <item x="70"/>
        <item x="216"/>
        <item x="102"/>
        <item x="206"/>
        <item x="11"/>
        <item x="141"/>
        <item x="28"/>
        <item x="119"/>
        <item x="175"/>
        <item x="162"/>
        <item x="152"/>
        <item x="52"/>
        <item x="210"/>
        <item x="176"/>
        <item x="137"/>
        <item x="12"/>
        <item x="7"/>
        <item x="145"/>
        <item x="74"/>
        <item x="212"/>
        <item x="180"/>
        <item x="222"/>
        <item x="215"/>
        <item x="18"/>
        <item x="97"/>
        <item x="182"/>
        <item x="163"/>
        <item x="217"/>
        <item x="40"/>
        <item x="48"/>
        <item x="196"/>
        <item x="220"/>
        <item x="23"/>
        <item x="164"/>
        <item x="105"/>
        <item x="66"/>
        <item x="56"/>
        <item x="78"/>
        <item x="140"/>
        <item x="166"/>
        <item x="209"/>
        <item x="160"/>
        <item x="86"/>
        <item x="153"/>
        <item x="184"/>
        <item x="188"/>
        <item x="2"/>
        <item x="195"/>
        <item x="101"/>
        <item x="20"/>
        <item x="39"/>
        <item x="41"/>
        <item x="80"/>
        <item x="76"/>
        <item x="171"/>
        <item x="158"/>
        <item x="121"/>
        <item x="112"/>
        <item x="0"/>
        <item x="191"/>
        <item x="156"/>
        <item x="143"/>
        <item x="83"/>
        <item x="16"/>
        <item x="225"/>
        <item x="64"/>
        <item x="168"/>
        <item x="135"/>
        <item x="110"/>
        <item x="4"/>
        <item x="57"/>
        <item x="125"/>
        <item x="90"/>
        <item x="116"/>
        <item x="126"/>
        <item x="32"/>
        <item x="207"/>
        <item x="198"/>
        <item x="219"/>
        <item x="146"/>
        <item x="150"/>
        <item x="61"/>
        <item x="129"/>
        <item x="47"/>
        <item x="25"/>
        <item x="60"/>
        <item x="29"/>
        <item x="132"/>
        <item x="3"/>
        <item x="214"/>
        <item x="63"/>
        <item x="167"/>
        <item x="205"/>
        <item x="31"/>
        <item x="34"/>
        <item x="177"/>
        <item x="113"/>
        <item x="227"/>
        <item x="178"/>
        <item x="200"/>
        <item x="67"/>
        <item x="42"/>
        <item x="22"/>
        <item x="77"/>
        <item x="65"/>
        <item x="154"/>
        <item x="36"/>
        <item x="9"/>
        <item x="183"/>
        <item x="120"/>
        <item x="155"/>
        <item x="142"/>
        <item x="14"/>
        <item x="62"/>
        <item x="75"/>
        <item x="131"/>
        <item x="96"/>
        <item x="189"/>
        <item x="82"/>
        <item x="88"/>
        <item x="139"/>
        <item x="194"/>
        <item x="69"/>
        <item x="53"/>
        <item x="165"/>
        <item x="13"/>
        <item x="148"/>
        <item x="21"/>
        <item x="103"/>
        <item x="151"/>
        <item x="197"/>
        <item x="10"/>
        <item x="122"/>
        <item x="115"/>
        <item x="133"/>
        <item x="58"/>
        <item x="117"/>
        <item x="24"/>
        <item x="124"/>
        <item x="111"/>
        <item x="114"/>
        <item x="213"/>
        <item x="199"/>
        <item x="204"/>
        <item x="134"/>
        <item x="15"/>
        <item x="1"/>
        <item x="79"/>
        <item x="35"/>
        <item x="72"/>
        <item x="93"/>
        <item x="87"/>
        <item x="50"/>
        <item x="161"/>
        <item x="187"/>
        <item x="203"/>
        <item x="172"/>
        <item x="106"/>
        <item x="128"/>
        <item x="109"/>
        <item x="201"/>
        <item x="45"/>
        <item x="33"/>
        <item x="104"/>
        <item x="107"/>
        <item x="99"/>
        <item x="179"/>
        <item x="84"/>
        <item x="192"/>
        <item x="136"/>
        <item x="71"/>
        <item x="81"/>
        <item x="98"/>
        <item x="92"/>
        <item x="73"/>
        <item x="85"/>
        <item x="43"/>
        <item x="190"/>
        <item x="181"/>
        <item x="59"/>
        <item x="54"/>
        <item x="147"/>
        <item x="108"/>
        <item x="118"/>
        <item x="91"/>
        <item x="44"/>
        <item x="202"/>
        <item x="37"/>
        <item x="186"/>
        <item x="157"/>
        <item x="130"/>
        <item x="6"/>
        <item x="224"/>
        <item x="19"/>
        <item x="159"/>
        <item x="127"/>
        <item x="173"/>
        <item x="185"/>
        <item x="27"/>
        <item x="26"/>
        <item x="223"/>
        <item x="68"/>
        <item x="174"/>
        <item x="49"/>
        <item x="211"/>
        <item x="100"/>
        <item x="8"/>
        <item x="89"/>
        <item x="208"/>
        <item x="149"/>
        <item x="38"/>
        <item x="138"/>
        <item x="169"/>
        <item x="123"/>
        <item x="51"/>
        <item x="17"/>
        <item x="193"/>
        <item x="55"/>
        <item x="170"/>
        <item x="46"/>
        <item x="226"/>
        <item x="95"/>
        <item x="5"/>
        <item x="221"/>
        <item x="144"/>
        <item x="94"/>
        <item x="30"/>
        <item x="218"/>
        <item t="default"/>
      </items>
    </pivotField>
    <pivotField showAll="0"/>
    <pivotField showAll="0"/>
    <pivotField showAll="0"/>
    <pivotField showAll="0">
      <items count="12">
        <item x="3"/>
        <item x="9"/>
        <item x="7"/>
        <item x="4"/>
        <item x="10"/>
        <item x="8"/>
        <item x="2"/>
        <item x="6"/>
        <item x="0"/>
        <item x="5"/>
        <item x="1"/>
        <item t="default"/>
      </items>
    </pivotField>
    <pivotField axis="axisRow" multipleItemSelectionAllowed="1" showAll="0" sortType="ascending">
      <items count="9">
        <item x="1"/>
        <item x="5"/>
        <item x="3"/>
        <item x="6"/>
        <item x="0"/>
        <item x="4"/>
        <item x="2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4">
        <item x="0"/>
        <item x="2"/>
        <item x="1"/>
        <item t="default"/>
      </items>
    </pivotField>
    <pivotField showAll="0"/>
    <pivotField showAll="0">
      <items count="15">
        <item x="12"/>
        <item x="0"/>
        <item x="8"/>
        <item x="7"/>
        <item x="3"/>
        <item x="1"/>
        <item x="11"/>
        <item x="13"/>
        <item x="6"/>
        <item x="9"/>
        <item x="2"/>
        <item x="10"/>
        <item x="5"/>
        <item x="4"/>
        <item t="default"/>
      </items>
    </pivotField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9">
    <i>
      <x v="2"/>
    </i>
    <i>
      <x v="7"/>
    </i>
    <i>
      <x v="5"/>
    </i>
    <i>
      <x v="4"/>
    </i>
    <i>
      <x v="3"/>
    </i>
    <i>
      <x/>
    </i>
    <i>
      <x v="1"/>
    </i>
    <i>
      <x v="6"/>
    </i>
    <i t="grand">
      <x/>
    </i>
  </rowItems>
  <colItems count="1">
    <i/>
  </colItems>
  <dataFields count="1">
    <dataField name="Suma de Ventas" fld="13" baseField="0" baseItem="0"/>
  </dataFields>
  <formats count="1">
    <format dxfId="0">
      <pivotArea collapsedLevelsAreSubtotals="1" fieldPosition="0">
        <references count="1">
          <reference field="6" count="0"/>
        </references>
      </pivotArea>
    </format>
  </format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BD9D5-F62A-4A3E-A73B-4CC168010732}" name="TablaDinámica12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E12:F19" firstHeaderRow="1" firstDataRow="1" firstDataCol="1"/>
  <pivotFields count="16">
    <pivotField showAll="0"/>
    <pivotField numFmtId="14" showAll="0">
      <items count="229">
        <item x="70"/>
        <item x="216"/>
        <item x="102"/>
        <item x="206"/>
        <item x="11"/>
        <item x="141"/>
        <item x="28"/>
        <item x="119"/>
        <item x="175"/>
        <item x="162"/>
        <item x="152"/>
        <item x="52"/>
        <item x="210"/>
        <item x="176"/>
        <item x="137"/>
        <item x="12"/>
        <item x="7"/>
        <item x="145"/>
        <item x="74"/>
        <item x="212"/>
        <item x="180"/>
        <item x="222"/>
        <item x="215"/>
        <item x="18"/>
        <item x="97"/>
        <item x="182"/>
        <item x="163"/>
        <item x="217"/>
        <item x="40"/>
        <item x="48"/>
        <item x="196"/>
        <item x="220"/>
        <item x="23"/>
        <item x="164"/>
        <item x="105"/>
        <item x="66"/>
        <item x="56"/>
        <item x="78"/>
        <item x="140"/>
        <item x="166"/>
        <item x="209"/>
        <item x="160"/>
        <item x="86"/>
        <item x="153"/>
        <item x="184"/>
        <item x="188"/>
        <item x="2"/>
        <item x="195"/>
        <item x="101"/>
        <item x="20"/>
        <item x="39"/>
        <item x="41"/>
        <item x="80"/>
        <item x="76"/>
        <item x="171"/>
        <item x="158"/>
        <item x="121"/>
        <item x="112"/>
        <item x="0"/>
        <item x="191"/>
        <item x="156"/>
        <item x="143"/>
        <item x="83"/>
        <item x="16"/>
        <item x="225"/>
        <item x="64"/>
        <item x="168"/>
        <item x="135"/>
        <item x="110"/>
        <item x="4"/>
        <item x="57"/>
        <item x="125"/>
        <item x="90"/>
        <item x="116"/>
        <item x="126"/>
        <item x="32"/>
        <item x="207"/>
        <item x="198"/>
        <item x="219"/>
        <item x="146"/>
        <item x="150"/>
        <item x="61"/>
        <item x="129"/>
        <item x="47"/>
        <item x="25"/>
        <item x="60"/>
        <item x="29"/>
        <item x="132"/>
        <item x="3"/>
        <item x="214"/>
        <item x="63"/>
        <item x="167"/>
        <item x="205"/>
        <item x="31"/>
        <item x="34"/>
        <item x="177"/>
        <item x="113"/>
        <item x="227"/>
        <item x="178"/>
        <item x="200"/>
        <item x="67"/>
        <item x="42"/>
        <item x="22"/>
        <item x="77"/>
        <item x="65"/>
        <item x="154"/>
        <item x="36"/>
        <item x="9"/>
        <item x="183"/>
        <item x="120"/>
        <item x="155"/>
        <item x="142"/>
        <item x="14"/>
        <item x="62"/>
        <item x="75"/>
        <item x="131"/>
        <item x="96"/>
        <item x="189"/>
        <item x="82"/>
        <item x="88"/>
        <item x="139"/>
        <item x="194"/>
        <item x="69"/>
        <item x="53"/>
        <item x="165"/>
        <item x="13"/>
        <item x="148"/>
        <item x="21"/>
        <item x="103"/>
        <item x="151"/>
        <item x="197"/>
        <item x="10"/>
        <item x="122"/>
        <item x="115"/>
        <item x="133"/>
        <item x="58"/>
        <item x="117"/>
        <item x="24"/>
        <item x="124"/>
        <item x="111"/>
        <item x="114"/>
        <item x="213"/>
        <item x="199"/>
        <item x="204"/>
        <item x="134"/>
        <item x="15"/>
        <item x="1"/>
        <item x="79"/>
        <item x="35"/>
        <item x="72"/>
        <item x="93"/>
        <item x="87"/>
        <item x="50"/>
        <item x="161"/>
        <item x="187"/>
        <item x="203"/>
        <item x="172"/>
        <item x="106"/>
        <item x="128"/>
        <item x="109"/>
        <item x="201"/>
        <item x="45"/>
        <item x="33"/>
        <item x="104"/>
        <item x="107"/>
        <item x="99"/>
        <item x="179"/>
        <item x="84"/>
        <item x="192"/>
        <item x="136"/>
        <item x="71"/>
        <item x="81"/>
        <item x="98"/>
        <item x="92"/>
        <item x="73"/>
        <item x="85"/>
        <item x="43"/>
        <item x="190"/>
        <item x="181"/>
        <item x="59"/>
        <item x="54"/>
        <item x="147"/>
        <item x="108"/>
        <item x="118"/>
        <item x="91"/>
        <item x="44"/>
        <item x="202"/>
        <item x="37"/>
        <item x="186"/>
        <item x="157"/>
        <item x="130"/>
        <item x="6"/>
        <item x="224"/>
        <item x="19"/>
        <item x="159"/>
        <item x="127"/>
        <item x="173"/>
        <item x="185"/>
        <item x="27"/>
        <item x="26"/>
        <item x="223"/>
        <item x="68"/>
        <item x="174"/>
        <item x="49"/>
        <item x="211"/>
        <item x="100"/>
        <item x="8"/>
        <item x="89"/>
        <item x="208"/>
        <item x="149"/>
        <item x="38"/>
        <item x="138"/>
        <item x="169"/>
        <item x="123"/>
        <item x="51"/>
        <item x="17"/>
        <item x="193"/>
        <item x="55"/>
        <item x="170"/>
        <item x="46"/>
        <item x="226"/>
        <item x="95"/>
        <item x="5"/>
        <item x="221"/>
        <item x="144"/>
        <item x="94"/>
        <item x="30"/>
        <item x="218"/>
        <item t="default"/>
      </items>
    </pivotField>
    <pivotField showAll="0"/>
    <pivotField showAll="0"/>
    <pivotField showAll="0"/>
    <pivotField showAll="0">
      <items count="12">
        <item x="3"/>
        <item x="9"/>
        <item x="7"/>
        <item x="4"/>
        <item x="10"/>
        <item x="8"/>
        <item x="2"/>
        <item x="6"/>
        <item x="0"/>
        <item x="5"/>
        <item x="1"/>
        <item t="default"/>
      </items>
    </pivotField>
    <pivotField showAll="0">
      <items count="9">
        <item x="1"/>
        <item x="5"/>
        <item x="3"/>
        <item x="6"/>
        <item x="0"/>
        <item x="4"/>
        <item x="2"/>
        <item x="7"/>
        <item t="default"/>
      </items>
    </pivotField>
    <pivotField showAll="0"/>
    <pivotField showAll="0">
      <items count="4">
        <item x="0"/>
        <item x="2"/>
        <item x="1"/>
        <item t="default"/>
      </items>
    </pivotField>
    <pivotField showAll="0"/>
    <pivotField showAll="0">
      <items count="15">
        <item x="12"/>
        <item x="0"/>
        <item x="8"/>
        <item x="7"/>
        <item x="3"/>
        <item x="1"/>
        <item x="11"/>
        <item x="13"/>
        <item x="6"/>
        <item x="9"/>
        <item x="2"/>
        <item x="10"/>
        <item x="5"/>
        <item x="4"/>
        <item t="default"/>
      </items>
    </pivotField>
    <pivotField showAll="0"/>
    <pivotField showAll="0"/>
    <pivotField axis="axisRow"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3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a de Ventas" fld="13" baseField="0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1" format="16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1" format="17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1" format="18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11" format="19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11" format="20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D97AF4-D5AE-49E3-8BD2-D4CDFEDAB55C}" name="TablaDinámica6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0">
  <location ref="E5:F9" firstHeaderRow="1" firstDataRow="1" firstDataCol="1"/>
  <pivotFields count="16">
    <pivotField showAll="0"/>
    <pivotField numFmtId="14" showAll="0">
      <items count="229">
        <item x="70"/>
        <item x="216"/>
        <item x="102"/>
        <item x="206"/>
        <item x="11"/>
        <item x="141"/>
        <item x="28"/>
        <item x="119"/>
        <item x="175"/>
        <item x="162"/>
        <item x="152"/>
        <item x="52"/>
        <item x="210"/>
        <item x="176"/>
        <item x="137"/>
        <item x="12"/>
        <item x="7"/>
        <item x="145"/>
        <item x="74"/>
        <item x="212"/>
        <item x="180"/>
        <item x="222"/>
        <item x="215"/>
        <item x="18"/>
        <item x="97"/>
        <item x="182"/>
        <item x="163"/>
        <item x="217"/>
        <item x="40"/>
        <item x="48"/>
        <item x="196"/>
        <item x="220"/>
        <item x="23"/>
        <item x="164"/>
        <item x="105"/>
        <item x="66"/>
        <item x="56"/>
        <item x="78"/>
        <item x="140"/>
        <item x="166"/>
        <item x="209"/>
        <item x="160"/>
        <item x="86"/>
        <item x="153"/>
        <item x="184"/>
        <item x="188"/>
        <item x="2"/>
        <item x="195"/>
        <item x="101"/>
        <item x="20"/>
        <item x="39"/>
        <item x="41"/>
        <item x="80"/>
        <item x="76"/>
        <item x="171"/>
        <item x="158"/>
        <item x="121"/>
        <item x="112"/>
        <item x="0"/>
        <item x="191"/>
        <item x="156"/>
        <item x="143"/>
        <item x="83"/>
        <item x="16"/>
        <item x="225"/>
        <item x="64"/>
        <item x="168"/>
        <item x="135"/>
        <item x="110"/>
        <item x="4"/>
        <item x="57"/>
        <item x="125"/>
        <item x="90"/>
        <item x="116"/>
        <item x="126"/>
        <item x="32"/>
        <item x="207"/>
        <item x="198"/>
        <item x="219"/>
        <item x="146"/>
        <item x="150"/>
        <item x="61"/>
        <item x="129"/>
        <item x="47"/>
        <item x="25"/>
        <item x="60"/>
        <item x="29"/>
        <item x="132"/>
        <item x="3"/>
        <item x="214"/>
        <item x="63"/>
        <item x="167"/>
        <item x="205"/>
        <item x="31"/>
        <item x="34"/>
        <item x="177"/>
        <item x="113"/>
        <item x="227"/>
        <item x="178"/>
        <item x="200"/>
        <item x="67"/>
        <item x="42"/>
        <item x="22"/>
        <item x="77"/>
        <item x="65"/>
        <item x="154"/>
        <item x="36"/>
        <item x="9"/>
        <item x="183"/>
        <item x="120"/>
        <item x="155"/>
        <item x="142"/>
        <item x="14"/>
        <item x="62"/>
        <item x="75"/>
        <item x="131"/>
        <item x="96"/>
        <item x="189"/>
        <item x="82"/>
        <item x="88"/>
        <item x="139"/>
        <item x="194"/>
        <item x="69"/>
        <item x="53"/>
        <item x="165"/>
        <item x="13"/>
        <item x="148"/>
        <item x="21"/>
        <item x="103"/>
        <item x="151"/>
        <item x="197"/>
        <item x="10"/>
        <item x="122"/>
        <item x="115"/>
        <item x="133"/>
        <item x="58"/>
        <item x="117"/>
        <item x="24"/>
        <item x="124"/>
        <item x="111"/>
        <item x="114"/>
        <item x="213"/>
        <item x="199"/>
        <item x="204"/>
        <item x="134"/>
        <item x="15"/>
        <item x="1"/>
        <item x="79"/>
        <item x="35"/>
        <item x="72"/>
        <item x="93"/>
        <item x="87"/>
        <item x="50"/>
        <item x="161"/>
        <item x="187"/>
        <item x="203"/>
        <item x="172"/>
        <item x="106"/>
        <item x="128"/>
        <item x="109"/>
        <item x="201"/>
        <item x="45"/>
        <item x="33"/>
        <item x="104"/>
        <item x="107"/>
        <item x="99"/>
        <item x="179"/>
        <item x="84"/>
        <item x="192"/>
        <item x="136"/>
        <item x="71"/>
        <item x="81"/>
        <item x="98"/>
        <item x="92"/>
        <item x="73"/>
        <item x="85"/>
        <item x="43"/>
        <item x="190"/>
        <item x="181"/>
        <item x="59"/>
        <item x="54"/>
        <item x="147"/>
        <item x="108"/>
        <item x="118"/>
        <item x="91"/>
        <item x="44"/>
        <item x="202"/>
        <item x="37"/>
        <item x="186"/>
        <item x="157"/>
        <item x="130"/>
        <item x="6"/>
        <item x="224"/>
        <item x="19"/>
        <item x="159"/>
        <item x="127"/>
        <item x="173"/>
        <item x="185"/>
        <item x="27"/>
        <item x="26"/>
        <item x="223"/>
        <item x="68"/>
        <item x="174"/>
        <item x="49"/>
        <item x="211"/>
        <item x="100"/>
        <item x="8"/>
        <item x="89"/>
        <item x="208"/>
        <item x="149"/>
        <item x="38"/>
        <item x="138"/>
        <item x="169"/>
        <item x="123"/>
        <item x="51"/>
        <item x="17"/>
        <item x="193"/>
        <item x="55"/>
        <item x="170"/>
        <item x="46"/>
        <item x="226"/>
        <item x="95"/>
        <item x="5"/>
        <item x="221"/>
        <item x="144"/>
        <item x="94"/>
        <item x="30"/>
        <item x="218"/>
        <item t="default"/>
      </items>
    </pivotField>
    <pivotField showAll="0"/>
    <pivotField showAll="0"/>
    <pivotField showAll="0"/>
    <pivotField showAll="0">
      <items count="12">
        <item x="3"/>
        <item x="9"/>
        <item x="7"/>
        <item x="4"/>
        <item x="10"/>
        <item x="8"/>
        <item x="2"/>
        <item x="6"/>
        <item x="0"/>
        <item x="5"/>
        <item x="1"/>
        <item t="default"/>
      </items>
    </pivotField>
    <pivotField showAll="0">
      <items count="9">
        <item x="1"/>
        <item x="5"/>
        <item x="3"/>
        <item x="6"/>
        <item x="0"/>
        <item x="4"/>
        <item x="2"/>
        <item x="7"/>
        <item t="default"/>
      </items>
    </pivotField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>
      <items count="15">
        <item x="12"/>
        <item x="0"/>
        <item x="8"/>
        <item x="7"/>
        <item x="3"/>
        <item x="1"/>
        <item x="11"/>
        <item x="13"/>
        <item x="6"/>
        <item x="9"/>
        <item x="2"/>
        <item x="10"/>
        <item x="5"/>
        <item x="4"/>
        <item t="default"/>
      </items>
    </pivotField>
    <pivotField showAll="0"/>
    <pivotField showAll="0"/>
    <pivotField dataField="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Ventas" fld="13" subtotal="count" baseField="8" baseItem="1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074215-B65D-4A42-8A23-A0DF291A52E5}" name="TablaDinámica5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0:B62" firstHeaderRow="1" firstDataRow="1" firstDataCol="1"/>
  <pivotFields count="16">
    <pivotField showAll="0"/>
    <pivotField numFmtId="14" showAll="0">
      <items count="229">
        <item x="70"/>
        <item x="216"/>
        <item x="102"/>
        <item x="206"/>
        <item x="11"/>
        <item x="141"/>
        <item x="28"/>
        <item x="119"/>
        <item x="175"/>
        <item x="162"/>
        <item x="152"/>
        <item x="52"/>
        <item x="210"/>
        <item x="176"/>
        <item x="137"/>
        <item x="12"/>
        <item x="7"/>
        <item x="145"/>
        <item x="74"/>
        <item x="212"/>
        <item x="180"/>
        <item x="222"/>
        <item x="215"/>
        <item x="18"/>
        <item x="97"/>
        <item x="182"/>
        <item x="163"/>
        <item x="217"/>
        <item x="40"/>
        <item x="48"/>
        <item x="196"/>
        <item x="220"/>
        <item x="23"/>
        <item x="164"/>
        <item x="105"/>
        <item x="66"/>
        <item x="56"/>
        <item x="78"/>
        <item x="140"/>
        <item x="166"/>
        <item x="209"/>
        <item x="160"/>
        <item x="86"/>
        <item x="153"/>
        <item x="184"/>
        <item x="188"/>
        <item x="2"/>
        <item x="195"/>
        <item x="101"/>
        <item x="20"/>
        <item x="39"/>
        <item x="41"/>
        <item x="80"/>
        <item x="76"/>
        <item x="171"/>
        <item x="158"/>
        <item x="121"/>
        <item x="112"/>
        <item x="0"/>
        <item x="191"/>
        <item x="156"/>
        <item x="143"/>
        <item x="83"/>
        <item x="16"/>
        <item x="225"/>
        <item x="64"/>
        <item x="168"/>
        <item x="135"/>
        <item x="110"/>
        <item x="4"/>
        <item x="57"/>
        <item x="125"/>
        <item x="90"/>
        <item x="116"/>
        <item x="126"/>
        <item x="32"/>
        <item x="207"/>
        <item x="198"/>
        <item x="219"/>
        <item x="146"/>
        <item x="150"/>
        <item x="61"/>
        <item x="129"/>
        <item x="47"/>
        <item x="25"/>
        <item x="60"/>
        <item x="29"/>
        <item x="132"/>
        <item x="3"/>
        <item x="214"/>
        <item x="63"/>
        <item x="167"/>
        <item x="205"/>
        <item x="31"/>
        <item x="34"/>
        <item x="177"/>
        <item x="113"/>
        <item x="227"/>
        <item x="178"/>
        <item x="200"/>
        <item x="67"/>
        <item x="42"/>
        <item x="22"/>
        <item x="77"/>
        <item x="65"/>
        <item x="154"/>
        <item x="36"/>
        <item x="9"/>
        <item x="183"/>
        <item x="120"/>
        <item x="155"/>
        <item x="142"/>
        <item x="14"/>
        <item x="62"/>
        <item x="75"/>
        <item x="131"/>
        <item x="96"/>
        <item x="189"/>
        <item x="82"/>
        <item x="88"/>
        <item x="139"/>
        <item x="194"/>
        <item x="69"/>
        <item x="53"/>
        <item x="165"/>
        <item x="13"/>
        <item x="148"/>
        <item x="21"/>
        <item x="103"/>
        <item x="151"/>
        <item x="197"/>
        <item x="10"/>
        <item x="122"/>
        <item x="115"/>
        <item x="133"/>
        <item x="58"/>
        <item x="117"/>
        <item x="24"/>
        <item x="124"/>
        <item x="111"/>
        <item x="114"/>
        <item x="213"/>
        <item x="199"/>
        <item x="204"/>
        <item x="134"/>
        <item x="15"/>
        <item x="1"/>
        <item x="79"/>
        <item x="35"/>
        <item x="72"/>
        <item x="93"/>
        <item x="87"/>
        <item x="50"/>
        <item x="161"/>
        <item x="187"/>
        <item x="203"/>
        <item x="172"/>
        <item x="106"/>
        <item x="128"/>
        <item x="109"/>
        <item x="201"/>
        <item x="45"/>
        <item x="33"/>
        <item x="104"/>
        <item x="107"/>
        <item x="99"/>
        <item x="179"/>
        <item x="84"/>
        <item x="192"/>
        <item x="136"/>
        <item x="71"/>
        <item x="81"/>
        <item x="98"/>
        <item x="92"/>
        <item x="73"/>
        <item x="85"/>
        <item x="43"/>
        <item x="190"/>
        <item x="181"/>
        <item x="59"/>
        <item x="54"/>
        <item x="147"/>
        <item x="108"/>
        <item x="118"/>
        <item x="91"/>
        <item x="44"/>
        <item x="202"/>
        <item x="37"/>
        <item x="186"/>
        <item x="157"/>
        <item x="130"/>
        <item x="6"/>
        <item x="224"/>
        <item x="19"/>
        <item x="159"/>
        <item x="127"/>
        <item x="173"/>
        <item x="185"/>
        <item x="27"/>
        <item x="26"/>
        <item x="223"/>
        <item x="68"/>
        <item x="174"/>
        <item x="49"/>
        <item x="211"/>
        <item x="100"/>
        <item x="8"/>
        <item x="89"/>
        <item x="208"/>
        <item x="149"/>
        <item x="38"/>
        <item x="138"/>
        <item x="169"/>
        <item x="123"/>
        <item x="51"/>
        <item x="17"/>
        <item x="193"/>
        <item x="55"/>
        <item x="170"/>
        <item x="46"/>
        <item x="226"/>
        <item x="95"/>
        <item x="5"/>
        <item x="221"/>
        <item x="144"/>
        <item x="94"/>
        <item x="30"/>
        <item x="218"/>
        <item t="default"/>
      </items>
    </pivotField>
    <pivotField showAll="0"/>
    <pivotField showAll="0"/>
    <pivotField showAll="0"/>
    <pivotField axis="axisRow" showAll="0">
      <items count="12">
        <item x="3"/>
        <item x="9"/>
        <item x="7"/>
        <item x="4"/>
        <item x="10"/>
        <item x="8"/>
        <item x="2"/>
        <item x="6"/>
        <item x="0"/>
        <item x="5"/>
        <item x="1"/>
        <item t="default"/>
      </items>
    </pivotField>
    <pivotField showAll="0">
      <items count="9">
        <item x="1"/>
        <item x="5"/>
        <item x="3"/>
        <item x="6"/>
        <item x="0"/>
        <item x="4"/>
        <item x="2"/>
        <item x="7"/>
        <item t="default"/>
      </items>
    </pivotField>
    <pivotField showAll="0"/>
    <pivotField showAll="0">
      <items count="4">
        <item x="0"/>
        <item x="2"/>
        <item x="1"/>
        <item t="default"/>
      </items>
    </pivotField>
    <pivotField showAll="0"/>
    <pivotField showAll="0">
      <items count="15">
        <item x="12"/>
        <item x="0"/>
        <item x="8"/>
        <item x="7"/>
        <item x="3"/>
        <item x="1"/>
        <item x="11"/>
        <item x="13"/>
        <item x="6"/>
        <item x="9"/>
        <item x="2"/>
        <item x="10"/>
        <item x="5"/>
        <item x="4"/>
        <item t="default"/>
      </items>
    </pivotField>
    <pivotField showAll="0"/>
    <pivotField showAll="0"/>
    <pivotField dataField="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a de Ventas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FB07894A-A3CB-406E-90E8-EC45570B52F7}" sourceName="Vendedor">
  <pivotTables>
    <pivotTable tabId="3" name="TablaDinámica1"/>
    <pivotTable tabId="3" name="TablaDinámica12"/>
    <pivotTable tabId="3" name="TablaDinámica3"/>
    <pivotTable tabId="3" name="TablaDinámica4"/>
    <pivotTable tabId="3" name="TablaDinámica5"/>
    <pivotTable tabId="3" name="TablaDinámica6"/>
  </pivotTables>
  <data>
    <tabular pivotCacheId="2049273399">
      <items count="8">
        <i x="1" s="1"/>
        <i x="5" s="1"/>
        <i x="3" s="1"/>
        <i x="6" s="1"/>
        <i x="0" s="1"/>
        <i x="4" s="1"/>
        <i x="2" s="1"/>
        <i x="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A69B94BB-B747-463A-9581-07163B774454}" sourceName="Categoría">
  <pivotTables>
    <pivotTable tabId="3" name="TablaDinámica4"/>
    <pivotTable tabId="3" name="TablaDinámica1"/>
    <pivotTable tabId="3" name="TablaDinámica12"/>
    <pivotTable tabId="3" name="TablaDinámica3"/>
    <pivotTable tabId="3" name="TablaDinámica5"/>
    <pivotTable tabId="3" name="TablaDinámica6"/>
  </pivotTables>
  <data>
    <tabular pivotCacheId="2049273399">
      <items count="14">
        <i x="12" s="1"/>
        <i x="0" s="1"/>
        <i x="8" s="1"/>
        <i x="7" s="1"/>
        <i x="3" s="1"/>
        <i x="1" s="1"/>
        <i x="11" s="1"/>
        <i x="13" s="1"/>
        <i x="6" s="1"/>
        <i x="9" s="1"/>
        <i x="2" s="1"/>
        <i x="10" s="1"/>
        <i x="5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orma_de_pago" xr10:uid="{C5C4F26D-0767-44D6-89F3-55100D3F42BD}" sourceName="Forma de pago">
  <pivotTables>
    <pivotTable tabId="3" name="TablaDinámica6"/>
    <pivotTable tabId="3" name="TablaDinámica1"/>
    <pivotTable tabId="3" name="TablaDinámica12"/>
    <pivotTable tabId="3" name="TablaDinámica3"/>
    <pivotTable tabId="3" name="TablaDinámica4"/>
    <pivotTable tabId="3" name="TablaDinámica5"/>
  </pivotTables>
  <data>
    <tabular pivotCacheId="2049273399">
      <items count="3">
        <i x="0" s="1"/>
        <i x="2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" xr10:uid="{D0661C7B-1077-45E4-9DC0-4DC0173B1D78}" sourceName="Departamento">
  <pivotTables>
    <pivotTable tabId="3" name="TablaDinámica5"/>
    <pivotTable tabId="3" name="TablaDinámica1"/>
    <pivotTable tabId="3" name="TablaDinámica12"/>
    <pivotTable tabId="3" name="TablaDinámica3"/>
    <pivotTable tabId="3" name="TablaDinámica4"/>
    <pivotTable tabId="3" name="TablaDinámica6"/>
  </pivotTables>
  <data>
    <tabular pivotCacheId="2049273399">
      <items count="11">
        <i x="3" s="1"/>
        <i x="9" s="1"/>
        <i x="7" s="1"/>
        <i x="4" s="1"/>
        <i x="10" s="1"/>
        <i x="8" s="1"/>
        <i x="2" s="1"/>
        <i x="6" s="1"/>
        <i x="0" s="1"/>
        <i x="5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" xr10:uid="{09D88305-C18B-4C8B-99ED-A38B94EFCBB2}" cache="SegmentaciónDeDatos_Vendedor" caption="Vendedor" style="Estilo de segmentación de datos 2" rowHeight="241300"/>
  <slicer name="Categoría" xr10:uid="{8B2CBC3F-ED3A-4BE3-9D3F-2947C3AF889E}" cache="SegmentaciónDeDatos_Categoría" caption="Categoría" columnCount="2" style="Estilo de segmentación de datos 2" rowHeight="241300"/>
  <slicer name="Forma de pago" xr10:uid="{8399F782-F160-454F-9FBB-C79413ED3EC3}" cache="SegmentaciónDeDatos_Forma_de_pago" caption="Forma de pago" style="Estilo de segmentación de datos 2" rowHeight="241300"/>
  <slicer name="Departamento" xr10:uid="{F3B410F1-66EA-4D3E-A04F-ECD5E7049F87}" cache="SegmentaciónDeDatos_Departamento" caption="Departamento" columnCount="2" style="Estilo de segmentación de datos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2B1EB0-9D19-4FC0-8846-6FBD0D9CFB73}" name="Tabla1" displayName="Tabla1" ref="A1:N372" totalsRowShown="0" headerRowDxfId="4" headerRowBorderDxfId="3" tableBorderDxfId="2">
  <autoFilter ref="A1:N372" xr:uid="{00000000-0001-0000-0000-000000000000}"/>
  <tableColumns count="14">
    <tableColumn id="1" xr3:uid="{9BED1BE8-1A6E-4636-BA04-FE89088DD451}" name="Documento"/>
    <tableColumn id="2" xr3:uid="{D3CE82BD-D067-479E-A9C1-A7C1349388B1}" name="Fecha" dataDxfId="1"/>
    <tableColumn id="3" xr3:uid="{301BB387-1F13-4D50-87BC-CD6FA8DC3FD9}" name="Id Cliente"/>
    <tableColumn id="4" xr3:uid="{ECABD732-4A6A-4DC6-9777-2C4E1B49ABE5}" name="Cliente"/>
    <tableColumn id="5" xr3:uid="{87DAFB76-30C2-4DB7-827E-F312C62C053D}" name="Ciudad"/>
    <tableColumn id="6" xr3:uid="{A4733B1C-BB8E-49AE-93CA-A80A0E13CED9}" name="Departamento"/>
    <tableColumn id="7" xr3:uid="{E91E5AE7-6382-47FB-AF19-4D88835110F1}" name="Vendedor"/>
    <tableColumn id="8" xr3:uid="{9D505AA9-329D-4596-A66F-28DDEF59B56B}" name="Empresa"/>
    <tableColumn id="9" xr3:uid="{516A8017-31CB-441F-9C61-9CC5960C9561}" name="Forma de pago"/>
    <tableColumn id="10" xr3:uid="{B9166024-4A3E-4921-B37C-E213FA697AA3}" name="Producto"/>
    <tableColumn id="11" xr3:uid="{844E4F56-B37F-4F6E-B4CE-8C7E1A6B373B}" name="Categoría"/>
    <tableColumn id="12" xr3:uid="{D31C375F-5F55-42B6-AA72-825C7B4BB57C}" name="Precio"/>
    <tableColumn id="13" xr3:uid="{97C05C95-84D4-4D9D-8755-C25BC400CDE3}" name="Cantidad"/>
    <tableColumn id="14" xr3:uid="{EACDC9DC-EE52-47A8-A703-7EC74E890B07}" name="Venta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6082C9A9-BCAF-444C-8C35-3BA879A036E8}" sourceName="Fecha">
  <pivotTables>
    <pivotTable tabId="3" name="TablaDinámica1"/>
    <pivotTable tabId="3" name="TablaDinámica12"/>
    <pivotTable tabId="3" name="TablaDinámica3"/>
    <pivotTable tabId="3" name="TablaDinámica4"/>
    <pivotTable tabId="3" name="TablaDinámica5"/>
    <pivotTable tabId="3" name="TablaDinámica6"/>
  </pivotTables>
  <state minimalRefreshVersion="6" lastRefreshVersion="6" pivotCacheId="2049273399" filterType="unknown"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45FE3B87-4159-4624-89CC-7579A6CD2CF5}" cache="NativeTimeline_Fecha" caption="Fecha" level="2" selectionLevel="2" scrollPosition="2024-01-01T00:00:00" style="Estilo de escala de tiempo 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N372"/>
  <sheetViews>
    <sheetView workbookViewId="0">
      <selection activeCell="G12" sqref="G12"/>
    </sheetView>
  </sheetViews>
  <sheetFormatPr baseColWidth="10" defaultColWidth="8.85546875" defaultRowHeight="15" x14ac:dyDescent="0.25"/>
  <cols>
    <col min="1" max="1" width="13.42578125" customWidth="1"/>
    <col min="2" max="2" width="10.7109375" style="1" bestFit="1" customWidth="1"/>
    <col min="3" max="3" width="11.7109375" customWidth="1"/>
    <col min="4" max="4" width="13.28515625" bestFit="1" customWidth="1"/>
    <col min="5" max="5" width="12.7109375" bestFit="1" customWidth="1"/>
    <col min="6" max="6" width="16" customWidth="1"/>
    <col min="7" max="7" width="29.42578125" bestFit="1" customWidth="1"/>
    <col min="8" max="8" width="25.5703125" bestFit="1" customWidth="1"/>
    <col min="9" max="9" width="16.7109375" bestFit="1" customWidth="1"/>
    <col min="10" max="10" width="20" bestFit="1" customWidth="1"/>
    <col min="11" max="11" width="19.85546875" bestFit="1" customWidth="1"/>
    <col min="12" max="12" width="8.7109375" customWidth="1"/>
    <col min="13" max="13" width="11" customWidth="1"/>
    <col min="14" max="14" width="9.28515625" customWidth="1"/>
    <col min="15" max="15" width="11.85546875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</row>
    <row r="2" spans="1:14" x14ac:dyDescent="0.25">
      <c r="A2">
        <v>1</v>
      </c>
      <c r="B2" s="2">
        <v>45391</v>
      </c>
      <c r="C2">
        <v>9259377217</v>
      </c>
      <c r="D2" t="s">
        <v>14</v>
      </c>
      <c r="E2" t="s">
        <v>29</v>
      </c>
      <c r="F2" t="s">
        <v>40</v>
      </c>
      <c r="G2" t="s">
        <v>50</v>
      </c>
      <c r="H2" t="s">
        <v>58</v>
      </c>
      <c r="I2" t="s">
        <v>61</v>
      </c>
      <c r="J2" t="s">
        <v>64</v>
      </c>
      <c r="K2" t="s">
        <v>88</v>
      </c>
      <c r="L2">
        <v>14</v>
      </c>
      <c r="M2">
        <v>10</v>
      </c>
      <c r="N2">
        <v>140</v>
      </c>
    </row>
    <row r="3" spans="1:14" x14ac:dyDescent="0.25">
      <c r="A3">
        <v>2</v>
      </c>
      <c r="B3" s="2">
        <v>45529</v>
      </c>
      <c r="C3">
        <v>6185253419</v>
      </c>
      <c r="D3" t="s">
        <v>14</v>
      </c>
      <c r="E3" t="s">
        <v>29</v>
      </c>
      <c r="F3" t="s">
        <v>40</v>
      </c>
      <c r="G3" t="s">
        <v>50</v>
      </c>
      <c r="H3" t="s">
        <v>58</v>
      </c>
      <c r="I3" t="s">
        <v>61</v>
      </c>
      <c r="J3" t="s">
        <v>65</v>
      </c>
      <c r="K3" t="s">
        <v>89</v>
      </c>
      <c r="L3">
        <v>34</v>
      </c>
      <c r="M3">
        <v>1</v>
      </c>
      <c r="N3">
        <v>34</v>
      </c>
    </row>
    <row r="4" spans="1:14" x14ac:dyDescent="0.25">
      <c r="A4">
        <v>3</v>
      </c>
      <c r="B4" s="2">
        <v>45369</v>
      </c>
      <c r="C4">
        <v>2308885942</v>
      </c>
      <c r="D4" t="s">
        <v>15</v>
      </c>
      <c r="E4" t="s">
        <v>30</v>
      </c>
      <c r="F4" t="s">
        <v>41</v>
      </c>
      <c r="G4" t="s">
        <v>51</v>
      </c>
      <c r="H4" t="s">
        <v>59</v>
      </c>
      <c r="I4" t="s">
        <v>62</v>
      </c>
      <c r="J4" t="s">
        <v>66</v>
      </c>
      <c r="K4" t="s">
        <v>89</v>
      </c>
      <c r="L4">
        <v>14</v>
      </c>
      <c r="M4">
        <v>57</v>
      </c>
      <c r="N4">
        <v>798</v>
      </c>
    </row>
    <row r="5" spans="1:14" x14ac:dyDescent="0.25">
      <c r="A5">
        <v>4</v>
      </c>
      <c r="B5" s="2">
        <v>45435</v>
      </c>
      <c r="C5">
        <v>6199717898</v>
      </c>
      <c r="D5" t="s">
        <v>15</v>
      </c>
      <c r="E5" t="s">
        <v>30</v>
      </c>
      <c r="F5" t="s">
        <v>41</v>
      </c>
      <c r="G5" t="s">
        <v>51</v>
      </c>
      <c r="H5" t="s">
        <v>59</v>
      </c>
      <c r="I5" t="s">
        <v>62</v>
      </c>
      <c r="J5" t="s">
        <v>67</v>
      </c>
      <c r="K5" t="s">
        <v>89</v>
      </c>
      <c r="L5">
        <v>16</v>
      </c>
      <c r="M5">
        <v>72</v>
      </c>
      <c r="N5">
        <v>1152</v>
      </c>
    </row>
    <row r="6" spans="1:14" x14ac:dyDescent="0.25">
      <c r="A6">
        <v>5</v>
      </c>
      <c r="B6" s="2">
        <v>45405</v>
      </c>
      <c r="C6">
        <v>5540683029</v>
      </c>
      <c r="D6" t="s">
        <v>15</v>
      </c>
      <c r="E6" t="s">
        <v>30</v>
      </c>
      <c r="F6" t="s">
        <v>41</v>
      </c>
      <c r="G6" t="s">
        <v>51</v>
      </c>
      <c r="H6" t="s">
        <v>59</v>
      </c>
      <c r="I6" t="s">
        <v>62</v>
      </c>
      <c r="J6" t="s">
        <v>65</v>
      </c>
      <c r="K6" t="s">
        <v>89</v>
      </c>
      <c r="L6">
        <v>12</v>
      </c>
      <c r="M6">
        <v>68</v>
      </c>
      <c r="N6">
        <v>816</v>
      </c>
    </row>
    <row r="7" spans="1:14" x14ac:dyDescent="0.25">
      <c r="A7">
        <v>6</v>
      </c>
      <c r="B7" s="2">
        <v>45645</v>
      </c>
      <c r="C7">
        <v>6343955045</v>
      </c>
      <c r="D7" t="s">
        <v>16</v>
      </c>
      <c r="E7" t="s">
        <v>29</v>
      </c>
      <c r="F7" t="s">
        <v>40</v>
      </c>
      <c r="G7" t="s">
        <v>50</v>
      </c>
      <c r="H7" t="s">
        <v>58</v>
      </c>
      <c r="I7" t="s">
        <v>62</v>
      </c>
      <c r="J7" t="s">
        <v>68</v>
      </c>
      <c r="K7" t="s">
        <v>88</v>
      </c>
      <c r="L7">
        <v>22</v>
      </c>
      <c r="M7">
        <v>29</v>
      </c>
      <c r="N7">
        <v>638</v>
      </c>
    </row>
    <row r="8" spans="1:14" x14ac:dyDescent="0.25">
      <c r="A8">
        <v>7</v>
      </c>
      <c r="B8" s="2">
        <v>45594</v>
      </c>
      <c r="C8">
        <v>1572125717</v>
      </c>
      <c r="D8" t="s">
        <v>16</v>
      </c>
      <c r="E8" t="s">
        <v>29</v>
      </c>
      <c r="F8" t="s">
        <v>40</v>
      </c>
      <c r="G8" t="s">
        <v>50</v>
      </c>
      <c r="H8" t="s">
        <v>58</v>
      </c>
      <c r="I8" t="s">
        <v>62</v>
      </c>
      <c r="J8" t="s">
        <v>69</v>
      </c>
      <c r="K8" t="s">
        <v>88</v>
      </c>
      <c r="L8">
        <v>42</v>
      </c>
      <c r="M8">
        <v>41</v>
      </c>
      <c r="N8">
        <v>1722</v>
      </c>
    </row>
    <row r="9" spans="1:14" x14ac:dyDescent="0.25">
      <c r="A9">
        <v>8</v>
      </c>
      <c r="B9" s="2">
        <v>45324</v>
      </c>
      <c r="C9">
        <v>3776895536</v>
      </c>
      <c r="D9" t="s">
        <v>17</v>
      </c>
      <c r="E9" t="s">
        <v>31</v>
      </c>
      <c r="F9" t="s">
        <v>42</v>
      </c>
      <c r="G9" t="s">
        <v>52</v>
      </c>
      <c r="H9" t="s">
        <v>60</v>
      </c>
      <c r="I9" t="s">
        <v>62</v>
      </c>
      <c r="J9" t="s">
        <v>70</v>
      </c>
      <c r="K9" t="s">
        <v>90</v>
      </c>
      <c r="L9">
        <v>11</v>
      </c>
      <c r="M9">
        <v>18</v>
      </c>
      <c r="N9">
        <v>198</v>
      </c>
    </row>
    <row r="10" spans="1:14" x14ac:dyDescent="0.25">
      <c r="A10">
        <v>9</v>
      </c>
      <c r="B10" s="2">
        <v>45619</v>
      </c>
      <c r="C10">
        <v>390733860</v>
      </c>
      <c r="D10" t="s">
        <v>15</v>
      </c>
      <c r="E10" t="s">
        <v>30</v>
      </c>
      <c r="F10" t="s">
        <v>41</v>
      </c>
      <c r="G10" t="s">
        <v>51</v>
      </c>
      <c r="H10" t="s">
        <v>60</v>
      </c>
      <c r="I10" t="s">
        <v>61</v>
      </c>
      <c r="J10" t="s">
        <v>70</v>
      </c>
      <c r="K10" t="s">
        <v>90</v>
      </c>
      <c r="L10">
        <v>29</v>
      </c>
      <c r="M10">
        <v>73</v>
      </c>
      <c r="N10">
        <v>2117</v>
      </c>
    </row>
    <row r="11" spans="1:14" x14ac:dyDescent="0.25">
      <c r="A11">
        <v>10</v>
      </c>
      <c r="B11" s="2">
        <v>45324</v>
      </c>
      <c r="C11">
        <v>2456709195</v>
      </c>
      <c r="D11" t="s">
        <v>18</v>
      </c>
      <c r="E11" t="s">
        <v>32</v>
      </c>
      <c r="F11" t="s">
        <v>43</v>
      </c>
      <c r="G11" t="s">
        <v>53</v>
      </c>
      <c r="H11" t="s">
        <v>58</v>
      </c>
      <c r="I11" t="s">
        <v>61</v>
      </c>
      <c r="J11" t="s">
        <v>71</v>
      </c>
      <c r="K11" t="s">
        <v>91</v>
      </c>
      <c r="L11">
        <v>12</v>
      </c>
      <c r="M11">
        <v>79</v>
      </c>
      <c r="N11">
        <v>948</v>
      </c>
    </row>
    <row r="12" spans="1:14" x14ac:dyDescent="0.25">
      <c r="A12">
        <v>11</v>
      </c>
      <c r="B12" s="2">
        <v>45460</v>
      </c>
      <c r="C12">
        <v>5766090086</v>
      </c>
      <c r="D12" t="s">
        <v>25</v>
      </c>
      <c r="E12" t="s">
        <v>33</v>
      </c>
      <c r="F12" t="s">
        <v>49</v>
      </c>
      <c r="G12" t="s">
        <v>50</v>
      </c>
      <c r="H12" t="s">
        <v>58</v>
      </c>
      <c r="I12" t="s">
        <v>63</v>
      </c>
      <c r="J12" t="s">
        <v>72</v>
      </c>
      <c r="K12" t="s">
        <v>92</v>
      </c>
      <c r="L12">
        <v>28</v>
      </c>
      <c r="M12">
        <v>37</v>
      </c>
      <c r="N12">
        <v>1036</v>
      </c>
    </row>
    <row r="13" spans="1:14" x14ac:dyDescent="0.25">
      <c r="A13">
        <v>12</v>
      </c>
      <c r="B13" s="2">
        <v>45506</v>
      </c>
      <c r="C13">
        <v>4872781256</v>
      </c>
      <c r="D13" t="s">
        <v>19</v>
      </c>
      <c r="E13" t="s">
        <v>34</v>
      </c>
      <c r="F13" t="s">
        <v>44</v>
      </c>
      <c r="G13" t="s">
        <v>54</v>
      </c>
      <c r="H13" t="s">
        <v>58</v>
      </c>
      <c r="I13" t="s">
        <v>62</v>
      </c>
      <c r="J13" t="s">
        <v>73</v>
      </c>
      <c r="K13" t="s">
        <v>93</v>
      </c>
      <c r="L13">
        <v>33</v>
      </c>
      <c r="M13">
        <v>64</v>
      </c>
      <c r="N13">
        <v>2112</v>
      </c>
    </row>
    <row r="14" spans="1:14" x14ac:dyDescent="0.25">
      <c r="A14">
        <v>13</v>
      </c>
      <c r="B14" s="2">
        <v>45304</v>
      </c>
      <c r="C14">
        <v>4213140599</v>
      </c>
      <c r="D14" t="s">
        <v>20</v>
      </c>
      <c r="E14" t="s">
        <v>35</v>
      </c>
      <c r="F14" t="s">
        <v>45</v>
      </c>
      <c r="G14" t="s">
        <v>55</v>
      </c>
      <c r="H14" t="s">
        <v>60</v>
      </c>
      <c r="I14" t="s">
        <v>61</v>
      </c>
      <c r="J14" t="s">
        <v>69</v>
      </c>
      <c r="K14" t="s">
        <v>88</v>
      </c>
      <c r="L14">
        <v>21</v>
      </c>
      <c r="M14">
        <v>96</v>
      </c>
      <c r="N14">
        <v>2016</v>
      </c>
    </row>
    <row r="15" spans="1:14" x14ac:dyDescent="0.25">
      <c r="A15">
        <v>14</v>
      </c>
      <c r="B15" s="2">
        <v>45322</v>
      </c>
      <c r="C15">
        <v>9433063552</v>
      </c>
      <c r="D15" t="s">
        <v>17</v>
      </c>
      <c r="E15" t="s">
        <v>31</v>
      </c>
      <c r="F15" t="s">
        <v>42</v>
      </c>
      <c r="G15" t="s">
        <v>52</v>
      </c>
      <c r="H15" t="s">
        <v>60</v>
      </c>
      <c r="I15" t="s">
        <v>61</v>
      </c>
      <c r="J15" t="s">
        <v>71</v>
      </c>
      <c r="K15" t="s">
        <v>91</v>
      </c>
      <c r="L15">
        <v>46</v>
      </c>
      <c r="M15">
        <v>86</v>
      </c>
      <c r="N15">
        <v>3956</v>
      </c>
    </row>
    <row r="16" spans="1:14" x14ac:dyDescent="0.25">
      <c r="A16">
        <v>15</v>
      </c>
      <c r="B16" s="2">
        <v>45498</v>
      </c>
      <c r="C16">
        <v>8539365209</v>
      </c>
      <c r="D16" t="s">
        <v>21</v>
      </c>
      <c r="E16" t="s">
        <v>36</v>
      </c>
      <c r="F16" t="s">
        <v>46</v>
      </c>
      <c r="G16" t="s">
        <v>56</v>
      </c>
      <c r="H16" t="s">
        <v>58</v>
      </c>
      <c r="I16" t="s">
        <v>62</v>
      </c>
      <c r="J16" t="s">
        <v>74</v>
      </c>
      <c r="K16" t="s">
        <v>88</v>
      </c>
      <c r="L16">
        <v>41</v>
      </c>
      <c r="M16">
        <v>96</v>
      </c>
      <c r="N16">
        <v>3936</v>
      </c>
    </row>
    <row r="17" spans="1:14" x14ac:dyDescent="0.25">
      <c r="A17">
        <v>16</v>
      </c>
      <c r="B17" s="2">
        <v>45470</v>
      </c>
      <c r="C17">
        <v>6983099686</v>
      </c>
      <c r="D17" t="s">
        <v>28</v>
      </c>
      <c r="E17" t="s">
        <v>37</v>
      </c>
      <c r="F17" t="s">
        <v>47</v>
      </c>
      <c r="G17" t="s">
        <v>52</v>
      </c>
      <c r="H17" t="s">
        <v>58</v>
      </c>
      <c r="I17" t="s">
        <v>63</v>
      </c>
      <c r="J17" t="s">
        <v>69</v>
      </c>
      <c r="K17" t="s">
        <v>88</v>
      </c>
      <c r="L17">
        <v>45</v>
      </c>
      <c r="M17">
        <v>97</v>
      </c>
      <c r="N17">
        <v>4490</v>
      </c>
    </row>
    <row r="18" spans="1:14" x14ac:dyDescent="0.25">
      <c r="A18">
        <v>17</v>
      </c>
      <c r="B18" s="2">
        <v>45526</v>
      </c>
      <c r="C18">
        <v>3008945605</v>
      </c>
      <c r="D18" t="s">
        <v>21</v>
      </c>
      <c r="E18" t="s">
        <v>36</v>
      </c>
      <c r="F18" t="s">
        <v>46</v>
      </c>
      <c r="G18" t="s">
        <v>56</v>
      </c>
      <c r="H18" t="s">
        <v>59</v>
      </c>
      <c r="I18" t="s">
        <v>63</v>
      </c>
      <c r="J18" t="s">
        <v>75</v>
      </c>
      <c r="K18" t="s">
        <v>94</v>
      </c>
      <c r="L18">
        <v>26</v>
      </c>
      <c r="M18">
        <v>65</v>
      </c>
      <c r="N18">
        <v>1690</v>
      </c>
    </row>
    <row r="19" spans="1:14" x14ac:dyDescent="0.25">
      <c r="A19">
        <v>18</v>
      </c>
      <c r="B19" s="2">
        <v>45398</v>
      </c>
      <c r="C19">
        <v>5388305959</v>
      </c>
      <c r="D19" t="s">
        <v>21</v>
      </c>
      <c r="E19" t="s">
        <v>36</v>
      </c>
      <c r="F19" t="s">
        <v>46</v>
      </c>
      <c r="G19" t="s">
        <v>56</v>
      </c>
      <c r="H19" t="s">
        <v>59</v>
      </c>
      <c r="I19" t="s">
        <v>61</v>
      </c>
      <c r="J19" t="s">
        <v>76</v>
      </c>
      <c r="K19" t="s">
        <v>95</v>
      </c>
      <c r="L19">
        <v>40</v>
      </c>
      <c r="M19">
        <v>88</v>
      </c>
      <c r="N19">
        <v>3520</v>
      </c>
    </row>
    <row r="20" spans="1:14" x14ac:dyDescent="0.25">
      <c r="A20">
        <v>19</v>
      </c>
      <c r="B20" s="2">
        <v>45633</v>
      </c>
      <c r="C20">
        <v>438272084</v>
      </c>
      <c r="D20" t="s">
        <v>21</v>
      </c>
      <c r="E20" t="s">
        <v>36</v>
      </c>
      <c r="F20" t="s">
        <v>46</v>
      </c>
      <c r="G20" t="s">
        <v>56</v>
      </c>
      <c r="H20" t="s">
        <v>59</v>
      </c>
      <c r="I20" t="s">
        <v>61</v>
      </c>
      <c r="J20" t="s">
        <v>70</v>
      </c>
      <c r="K20" t="s">
        <v>90</v>
      </c>
      <c r="L20">
        <v>12</v>
      </c>
      <c r="M20">
        <v>60</v>
      </c>
      <c r="N20">
        <v>720</v>
      </c>
    </row>
    <row r="21" spans="1:14" x14ac:dyDescent="0.25">
      <c r="A21">
        <v>20</v>
      </c>
      <c r="B21" s="2">
        <v>45336</v>
      </c>
      <c r="C21">
        <v>2536792311</v>
      </c>
      <c r="D21" t="s">
        <v>22</v>
      </c>
      <c r="E21" t="s">
        <v>38</v>
      </c>
      <c r="F21" t="s">
        <v>38</v>
      </c>
      <c r="G21" t="s">
        <v>55</v>
      </c>
      <c r="H21" t="s">
        <v>60</v>
      </c>
      <c r="I21" t="s">
        <v>62</v>
      </c>
      <c r="J21" t="s">
        <v>65</v>
      </c>
      <c r="K21" t="s">
        <v>89</v>
      </c>
      <c r="L21">
        <v>35</v>
      </c>
      <c r="M21">
        <v>96</v>
      </c>
      <c r="N21">
        <v>3360</v>
      </c>
    </row>
    <row r="22" spans="1:14" x14ac:dyDescent="0.25">
      <c r="A22">
        <v>21</v>
      </c>
      <c r="B22" s="2">
        <v>45599</v>
      </c>
      <c r="C22">
        <v>7813757711</v>
      </c>
      <c r="D22" t="s">
        <v>22</v>
      </c>
      <c r="E22" t="s">
        <v>38</v>
      </c>
      <c r="F22" t="s">
        <v>38</v>
      </c>
      <c r="G22" t="s">
        <v>55</v>
      </c>
      <c r="H22" t="s">
        <v>60</v>
      </c>
      <c r="I22" t="s">
        <v>62</v>
      </c>
      <c r="J22" t="s">
        <v>74</v>
      </c>
      <c r="K22" t="s">
        <v>88</v>
      </c>
      <c r="L22">
        <v>20</v>
      </c>
      <c r="M22">
        <v>50</v>
      </c>
      <c r="N22">
        <v>1000</v>
      </c>
    </row>
    <row r="23" spans="1:14" x14ac:dyDescent="0.25">
      <c r="A23">
        <v>22</v>
      </c>
      <c r="B23" s="2">
        <v>45379</v>
      </c>
      <c r="C23">
        <v>4786931679</v>
      </c>
      <c r="D23" t="s">
        <v>23</v>
      </c>
      <c r="E23" t="s">
        <v>39</v>
      </c>
      <c r="F23" t="s">
        <v>48</v>
      </c>
      <c r="G23" t="s">
        <v>52</v>
      </c>
      <c r="H23" t="s">
        <v>58</v>
      </c>
      <c r="I23" t="s">
        <v>63</v>
      </c>
      <c r="J23" t="s">
        <v>68</v>
      </c>
      <c r="K23" t="s">
        <v>88</v>
      </c>
      <c r="L23">
        <v>50</v>
      </c>
      <c r="M23">
        <v>75</v>
      </c>
      <c r="N23">
        <v>3750</v>
      </c>
    </row>
    <row r="24" spans="1:14" x14ac:dyDescent="0.25">
      <c r="A24">
        <v>23</v>
      </c>
      <c r="B24" s="2">
        <v>45500</v>
      </c>
      <c r="C24">
        <v>3021659728</v>
      </c>
      <c r="D24" t="s">
        <v>23</v>
      </c>
      <c r="E24" t="s">
        <v>39</v>
      </c>
      <c r="F24" t="s">
        <v>48</v>
      </c>
      <c r="G24" t="s">
        <v>52</v>
      </c>
      <c r="H24" t="s">
        <v>58</v>
      </c>
      <c r="I24" t="s">
        <v>62</v>
      </c>
      <c r="J24" t="s">
        <v>69</v>
      </c>
      <c r="K24" t="s">
        <v>88</v>
      </c>
      <c r="L24">
        <v>21</v>
      </c>
      <c r="M24">
        <v>4</v>
      </c>
      <c r="N24">
        <v>84</v>
      </c>
    </row>
    <row r="25" spans="1:14" x14ac:dyDescent="0.25">
      <c r="A25">
        <v>24</v>
      </c>
      <c r="B25" s="2">
        <v>45454</v>
      </c>
      <c r="C25">
        <v>2591950684</v>
      </c>
      <c r="D25" t="s">
        <v>23</v>
      </c>
      <c r="E25" t="s">
        <v>39</v>
      </c>
      <c r="F25" t="s">
        <v>48</v>
      </c>
      <c r="G25" t="s">
        <v>52</v>
      </c>
      <c r="H25" t="s">
        <v>60</v>
      </c>
      <c r="I25" t="s">
        <v>61</v>
      </c>
      <c r="J25" t="s">
        <v>74</v>
      </c>
      <c r="K25" t="s">
        <v>88</v>
      </c>
      <c r="L25">
        <v>43</v>
      </c>
      <c r="M25">
        <v>18</v>
      </c>
      <c r="N25">
        <v>774</v>
      </c>
    </row>
    <row r="26" spans="1:14" x14ac:dyDescent="0.25">
      <c r="A26">
        <v>25</v>
      </c>
      <c r="B26" s="2">
        <v>45346</v>
      </c>
      <c r="C26">
        <v>9326361454</v>
      </c>
      <c r="D26" t="s">
        <v>20</v>
      </c>
      <c r="E26" t="s">
        <v>35</v>
      </c>
      <c r="F26" t="s">
        <v>45</v>
      </c>
      <c r="G26" t="s">
        <v>55</v>
      </c>
      <c r="H26" t="s">
        <v>60</v>
      </c>
      <c r="I26" t="s">
        <v>62</v>
      </c>
      <c r="J26" t="s">
        <v>72</v>
      </c>
      <c r="K26" t="s">
        <v>92</v>
      </c>
      <c r="L26">
        <v>26</v>
      </c>
      <c r="M26">
        <v>49</v>
      </c>
      <c r="N26">
        <v>1274</v>
      </c>
    </row>
    <row r="27" spans="1:14" x14ac:dyDescent="0.25">
      <c r="A27">
        <v>26</v>
      </c>
      <c r="B27" s="2">
        <v>45516</v>
      </c>
      <c r="C27">
        <v>3769138349</v>
      </c>
      <c r="D27" t="s">
        <v>20</v>
      </c>
      <c r="E27" t="s">
        <v>35</v>
      </c>
      <c r="F27" t="s">
        <v>45</v>
      </c>
      <c r="G27" t="s">
        <v>55</v>
      </c>
      <c r="H27" t="s">
        <v>60</v>
      </c>
      <c r="I27" t="s">
        <v>62</v>
      </c>
      <c r="J27" t="s">
        <v>77</v>
      </c>
      <c r="K27" t="s">
        <v>96</v>
      </c>
      <c r="L27">
        <v>39</v>
      </c>
      <c r="M27">
        <v>21</v>
      </c>
      <c r="N27">
        <v>819</v>
      </c>
    </row>
    <row r="28" spans="1:14" x14ac:dyDescent="0.25">
      <c r="A28">
        <v>27</v>
      </c>
      <c r="B28" s="2">
        <v>45369</v>
      </c>
      <c r="C28">
        <v>5871657714</v>
      </c>
      <c r="D28" t="s">
        <v>24</v>
      </c>
      <c r="E28" t="s">
        <v>32</v>
      </c>
      <c r="F28" t="s">
        <v>43</v>
      </c>
      <c r="G28" t="s">
        <v>57</v>
      </c>
      <c r="H28" t="s">
        <v>59</v>
      </c>
      <c r="I28" t="s">
        <v>61</v>
      </c>
      <c r="J28" t="s">
        <v>78</v>
      </c>
      <c r="K28" t="s">
        <v>97</v>
      </c>
      <c r="L28">
        <v>33</v>
      </c>
      <c r="M28">
        <v>8</v>
      </c>
      <c r="N28">
        <v>264</v>
      </c>
    </row>
    <row r="29" spans="1:14" x14ac:dyDescent="0.25">
      <c r="A29">
        <v>28</v>
      </c>
      <c r="B29" s="2">
        <v>45426</v>
      </c>
      <c r="C29">
        <v>1534553307</v>
      </c>
      <c r="D29" t="s">
        <v>24</v>
      </c>
      <c r="E29" t="s">
        <v>32</v>
      </c>
      <c r="F29" t="s">
        <v>43</v>
      </c>
      <c r="G29" t="s">
        <v>57</v>
      </c>
      <c r="H29" t="s">
        <v>59</v>
      </c>
      <c r="I29" t="s">
        <v>61</v>
      </c>
      <c r="J29" t="s">
        <v>79</v>
      </c>
      <c r="K29" t="s">
        <v>98</v>
      </c>
      <c r="L29">
        <v>46</v>
      </c>
      <c r="M29">
        <v>82</v>
      </c>
      <c r="N29">
        <v>3772</v>
      </c>
    </row>
    <row r="30" spans="1:14" x14ac:dyDescent="0.25">
      <c r="A30">
        <v>29</v>
      </c>
      <c r="B30" s="2">
        <v>45607</v>
      </c>
      <c r="C30">
        <v>8474620707</v>
      </c>
      <c r="D30" t="s">
        <v>19</v>
      </c>
      <c r="E30" t="s">
        <v>34</v>
      </c>
      <c r="F30" t="s">
        <v>44</v>
      </c>
      <c r="G30" t="s">
        <v>54</v>
      </c>
      <c r="H30" t="s">
        <v>58</v>
      </c>
      <c r="I30" t="s">
        <v>62</v>
      </c>
      <c r="J30" t="s">
        <v>64</v>
      </c>
      <c r="K30" t="s">
        <v>88</v>
      </c>
      <c r="L30">
        <v>32</v>
      </c>
      <c r="M30">
        <v>75</v>
      </c>
      <c r="N30">
        <v>2400</v>
      </c>
    </row>
    <row r="31" spans="1:14" x14ac:dyDescent="0.25">
      <c r="A31">
        <v>30</v>
      </c>
      <c r="B31" s="2">
        <v>45605</v>
      </c>
      <c r="C31">
        <v>3530767380</v>
      </c>
      <c r="D31" t="s">
        <v>17</v>
      </c>
      <c r="E31" t="s">
        <v>31</v>
      </c>
      <c r="F31" t="s">
        <v>42</v>
      </c>
      <c r="G31" t="s">
        <v>52</v>
      </c>
      <c r="H31" t="s">
        <v>58</v>
      </c>
      <c r="I31" t="s">
        <v>61</v>
      </c>
      <c r="J31" t="s">
        <v>73</v>
      </c>
      <c r="K31" t="s">
        <v>93</v>
      </c>
      <c r="L31">
        <v>34</v>
      </c>
      <c r="M31">
        <v>3</v>
      </c>
      <c r="N31">
        <v>102</v>
      </c>
    </row>
    <row r="32" spans="1:14" x14ac:dyDescent="0.25">
      <c r="A32">
        <v>31</v>
      </c>
      <c r="B32" s="2">
        <v>45306</v>
      </c>
      <c r="C32">
        <v>6673950624</v>
      </c>
      <c r="D32" t="s">
        <v>25</v>
      </c>
      <c r="E32" t="s">
        <v>33</v>
      </c>
      <c r="F32" t="s">
        <v>49</v>
      </c>
      <c r="G32" t="s">
        <v>50</v>
      </c>
      <c r="H32" t="s">
        <v>58</v>
      </c>
      <c r="I32" t="s">
        <v>63</v>
      </c>
      <c r="J32" t="s">
        <v>87</v>
      </c>
      <c r="K32" t="s">
        <v>95</v>
      </c>
      <c r="L32">
        <v>24</v>
      </c>
      <c r="M32">
        <v>33</v>
      </c>
      <c r="N32">
        <v>792</v>
      </c>
    </row>
    <row r="33" spans="1:14" x14ac:dyDescent="0.25">
      <c r="A33">
        <v>32</v>
      </c>
      <c r="B33" s="2">
        <v>45428</v>
      </c>
      <c r="C33">
        <v>7137547321</v>
      </c>
      <c r="D33" t="s">
        <v>25</v>
      </c>
      <c r="E33" t="s">
        <v>33</v>
      </c>
      <c r="F33" t="s">
        <v>49</v>
      </c>
      <c r="G33" t="s">
        <v>50</v>
      </c>
      <c r="H33" t="s">
        <v>58</v>
      </c>
      <c r="I33" t="s">
        <v>63</v>
      </c>
      <c r="J33" t="s">
        <v>73</v>
      </c>
      <c r="K33" t="s">
        <v>93</v>
      </c>
      <c r="L33">
        <v>21</v>
      </c>
      <c r="M33">
        <v>51</v>
      </c>
      <c r="N33">
        <v>1071</v>
      </c>
    </row>
    <row r="34" spans="1:14" x14ac:dyDescent="0.25">
      <c r="A34">
        <v>36</v>
      </c>
      <c r="B34" s="2">
        <v>45653</v>
      </c>
      <c r="C34">
        <v>9282360094</v>
      </c>
      <c r="D34" t="s">
        <v>21</v>
      </c>
      <c r="E34" t="s">
        <v>36</v>
      </c>
      <c r="F34" t="s">
        <v>46</v>
      </c>
      <c r="G34" t="s">
        <v>56</v>
      </c>
      <c r="H34" t="s">
        <v>58</v>
      </c>
      <c r="I34" t="s">
        <v>62</v>
      </c>
      <c r="J34" t="s">
        <v>80</v>
      </c>
      <c r="K34" t="s">
        <v>89</v>
      </c>
      <c r="L34">
        <v>140</v>
      </c>
      <c r="M34">
        <v>47</v>
      </c>
      <c r="N34">
        <v>6580</v>
      </c>
    </row>
    <row r="35" spans="1:14" x14ac:dyDescent="0.25">
      <c r="A35">
        <v>37</v>
      </c>
      <c r="B35" s="2">
        <v>45443</v>
      </c>
      <c r="C35">
        <v>6935804403</v>
      </c>
      <c r="D35" t="s">
        <v>21</v>
      </c>
      <c r="E35" t="s">
        <v>36</v>
      </c>
      <c r="F35" t="s">
        <v>46</v>
      </c>
      <c r="G35" t="s">
        <v>56</v>
      </c>
      <c r="H35" t="s">
        <v>59</v>
      </c>
      <c r="I35" t="s">
        <v>62</v>
      </c>
      <c r="J35" t="s">
        <v>65</v>
      </c>
      <c r="K35" t="s">
        <v>89</v>
      </c>
      <c r="L35">
        <v>49</v>
      </c>
      <c r="M35">
        <v>49</v>
      </c>
      <c r="N35">
        <v>2401</v>
      </c>
    </row>
    <row r="36" spans="1:14" x14ac:dyDescent="0.25">
      <c r="A36">
        <v>38</v>
      </c>
      <c r="B36" s="2">
        <v>45413</v>
      </c>
      <c r="C36">
        <v>3650322132</v>
      </c>
      <c r="D36" t="s">
        <v>22</v>
      </c>
      <c r="E36" t="s">
        <v>38</v>
      </c>
      <c r="F36" t="s">
        <v>38</v>
      </c>
      <c r="G36" t="s">
        <v>55</v>
      </c>
      <c r="H36" t="s">
        <v>60</v>
      </c>
      <c r="I36" t="s">
        <v>63</v>
      </c>
      <c r="J36" t="s">
        <v>73</v>
      </c>
      <c r="K36" t="s">
        <v>93</v>
      </c>
      <c r="L36">
        <v>560</v>
      </c>
      <c r="M36">
        <v>72</v>
      </c>
      <c r="N36">
        <v>40320</v>
      </c>
    </row>
    <row r="37" spans="1:14" x14ac:dyDescent="0.25">
      <c r="A37">
        <v>39</v>
      </c>
      <c r="B37" s="2">
        <v>45426</v>
      </c>
      <c r="C37">
        <v>1985754250</v>
      </c>
      <c r="D37" t="s">
        <v>23</v>
      </c>
      <c r="E37" t="s">
        <v>39</v>
      </c>
      <c r="F37" t="s">
        <v>48</v>
      </c>
      <c r="G37" t="s">
        <v>52</v>
      </c>
      <c r="H37" t="s">
        <v>60</v>
      </c>
      <c r="I37" t="s">
        <v>63</v>
      </c>
      <c r="J37" t="s">
        <v>77</v>
      </c>
      <c r="K37" t="s">
        <v>96</v>
      </c>
      <c r="L37">
        <v>257.60000000000002</v>
      </c>
      <c r="M37">
        <v>13</v>
      </c>
      <c r="N37">
        <v>3348.8</v>
      </c>
    </row>
    <row r="38" spans="1:14" x14ac:dyDescent="0.25">
      <c r="A38">
        <v>40</v>
      </c>
      <c r="B38" s="2">
        <v>45551</v>
      </c>
      <c r="C38">
        <v>7293507918</v>
      </c>
      <c r="D38" t="s">
        <v>20</v>
      </c>
      <c r="E38" t="s">
        <v>35</v>
      </c>
      <c r="F38" t="s">
        <v>45</v>
      </c>
      <c r="G38" t="s">
        <v>55</v>
      </c>
      <c r="H38" t="s">
        <v>60</v>
      </c>
      <c r="I38" t="s">
        <v>62</v>
      </c>
      <c r="J38" t="s">
        <v>69</v>
      </c>
      <c r="K38" t="s">
        <v>88</v>
      </c>
      <c r="L38">
        <v>644</v>
      </c>
      <c r="M38">
        <v>32</v>
      </c>
      <c r="N38">
        <v>20608</v>
      </c>
    </row>
    <row r="39" spans="1:14" x14ac:dyDescent="0.25">
      <c r="A39">
        <v>41</v>
      </c>
      <c r="B39" s="2">
        <v>45444</v>
      </c>
      <c r="C39">
        <v>3459323228</v>
      </c>
      <c r="D39" t="s">
        <v>24</v>
      </c>
      <c r="E39" t="s">
        <v>32</v>
      </c>
      <c r="F39" t="s">
        <v>43</v>
      </c>
      <c r="G39" t="s">
        <v>57</v>
      </c>
      <c r="H39" t="s">
        <v>59</v>
      </c>
      <c r="I39" t="s">
        <v>61</v>
      </c>
      <c r="J39" t="s">
        <v>72</v>
      </c>
      <c r="K39" t="s">
        <v>92</v>
      </c>
      <c r="L39">
        <v>135.1</v>
      </c>
      <c r="M39">
        <v>27</v>
      </c>
      <c r="N39">
        <v>3647.7</v>
      </c>
    </row>
    <row r="40" spans="1:14" x14ac:dyDescent="0.25">
      <c r="A40">
        <v>42</v>
      </c>
      <c r="B40" s="2">
        <v>45460</v>
      </c>
      <c r="C40">
        <v>1144627655</v>
      </c>
      <c r="D40" t="s">
        <v>19</v>
      </c>
      <c r="E40" t="s">
        <v>34</v>
      </c>
      <c r="F40" t="s">
        <v>44</v>
      </c>
      <c r="G40" t="s">
        <v>54</v>
      </c>
      <c r="H40" t="s">
        <v>58</v>
      </c>
      <c r="I40" t="s">
        <v>62</v>
      </c>
      <c r="J40" t="s">
        <v>71</v>
      </c>
      <c r="K40" t="s">
        <v>91</v>
      </c>
      <c r="L40">
        <v>178.5</v>
      </c>
      <c r="M40">
        <v>71</v>
      </c>
      <c r="N40">
        <v>12673.5</v>
      </c>
    </row>
    <row r="41" spans="1:14" x14ac:dyDescent="0.25">
      <c r="A41">
        <v>43</v>
      </c>
      <c r="B41" s="2">
        <v>45531</v>
      </c>
      <c r="C41">
        <v>3986713828</v>
      </c>
      <c r="D41" t="s">
        <v>17</v>
      </c>
      <c r="E41" t="s">
        <v>31</v>
      </c>
      <c r="F41" t="s">
        <v>42</v>
      </c>
      <c r="G41" t="s">
        <v>52</v>
      </c>
      <c r="H41" t="s">
        <v>58</v>
      </c>
      <c r="I41" t="s">
        <v>61</v>
      </c>
      <c r="J41" t="s">
        <v>71</v>
      </c>
      <c r="K41" t="s">
        <v>91</v>
      </c>
      <c r="L41">
        <v>178.5</v>
      </c>
      <c r="M41">
        <v>13</v>
      </c>
      <c r="N41">
        <v>2320.5</v>
      </c>
    </row>
    <row r="42" spans="1:14" x14ac:dyDescent="0.25">
      <c r="A42">
        <v>44</v>
      </c>
      <c r="B42" s="2">
        <v>45459</v>
      </c>
      <c r="C42">
        <v>9350633665</v>
      </c>
      <c r="D42" t="s">
        <v>26</v>
      </c>
      <c r="E42" t="s">
        <v>36</v>
      </c>
      <c r="F42" t="s">
        <v>46</v>
      </c>
      <c r="G42" t="s">
        <v>56</v>
      </c>
      <c r="H42" t="s">
        <v>59</v>
      </c>
      <c r="I42" t="s">
        <v>63</v>
      </c>
      <c r="J42" t="s">
        <v>76</v>
      </c>
      <c r="K42" t="s">
        <v>95</v>
      </c>
      <c r="L42">
        <v>308</v>
      </c>
      <c r="M42">
        <v>98</v>
      </c>
      <c r="N42">
        <v>30184</v>
      </c>
    </row>
    <row r="43" spans="1:14" x14ac:dyDescent="0.25">
      <c r="A43">
        <v>45</v>
      </c>
      <c r="B43" s="2">
        <v>45590</v>
      </c>
      <c r="C43">
        <v>4918639925</v>
      </c>
      <c r="D43" t="s">
        <v>27</v>
      </c>
      <c r="E43" t="s">
        <v>38</v>
      </c>
      <c r="F43" t="s">
        <v>38</v>
      </c>
      <c r="G43" t="s">
        <v>55</v>
      </c>
      <c r="H43" t="s">
        <v>60</v>
      </c>
      <c r="I43" t="s">
        <v>62</v>
      </c>
      <c r="J43" t="s">
        <v>75</v>
      </c>
      <c r="K43" t="s">
        <v>94</v>
      </c>
      <c r="L43">
        <v>350</v>
      </c>
      <c r="M43">
        <v>21</v>
      </c>
      <c r="N43">
        <v>7350</v>
      </c>
    </row>
    <row r="44" spans="1:14" x14ac:dyDescent="0.25">
      <c r="A44">
        <v>46</v>
      </c>
      <c r="B44" s="2">
        <v>45626</v>
      </c>
      <c r="C44">
        <v>9630006862</v>
      </c>
      <c r="D44" t="s">
        <v>18</v>
      </c>
      <c r="E44" t="s">
        <v>32</v>
      </c>
      <c r="F44" t="s">
        <v>43</v>
      </c>
      <c r="G44" t="s">
        <v>53</v>
      </c>
      <c r="H44" t="s">
        <v>58</v>
      </c>
      <c r="I44" t="s">
        <v>61</v>
      </c>
      <c r="J44" t="s">
        <v>81</v>
      </c>
      <c r="K44" t="s">
        <v>99</v>
      </c>
      <c r="L44">
        <v>546</v>
      </c>
      <c r="M44">
        <v>26</v>
      </c>
      <c r="N44">
        <v>14196</v>
      </c>
    </row>
    <row r="45" spans="1:14" x14ac:dyDescent="0.25">
      <c r="A45">
        <v>47</v>
      </c>
      <c r="B45" s="2">
        <v>45381</v>
      </c>
      <c r="C45">
        <v>9029002933</v>
      </c>
      <c r="D45" t="s">
        <v>19</v>
      </c>
      <c r="E45" t="s">
        <v>34</v>
      </c>
      <c r="F45" t="s">
        <v>44</v>
      </c>
      <c r="G45" t="s">
        <v>54</v>
      </c>
      <c r="H45" t="s">
        <v>60</v>
      </c>
      <c r="I45" t="s">
        <v>61</v>
      </c>
      <c r="J45" t="s">
        <v>66</v>
      </c>
      <c r="K45" t="s">
        <v>89</v>
      </c>
      <c r="L45">
        <v>420</v>
      </c>
      <c r="M45">
        <v>96</v>
      </c>
      <c r="N45">
        <v>40320</v>
      </c>
    </row>
    <row r="46" spans="1:14" x14ac:dyDescent="0.25">
      <c r="A46">
        <v>48</v>
      </c>
      <c r="B46" s="2">
        <v>45341</v>
      </c>
      <c r="C46">
        <v>5702300844</v>
      </c>
      <c r="D46" t="s">
        <v>19</v>
      </c>
      <c r="E46" t="s">
        <v>34</v>
      </c>
      <c r="F46" t="s">
        <v>44</v>
      </c>
      <c r="G46" t="s">
        <v>54</v>
      </c>
      <c r="H46" t="s">
        <v>60</v>
      </c>
      <c r="I46" t="s">
        <v>61</v>
      </c>
      <c r="J46" t="s">
        <v>67</v>
      </c>
      <c r="K46" t="s">
        <v>89</v>
      </c>
      <c r="L46">
        <v>742</v>
      </c>
      <c r="M46">
        <v>16</v>
      </c>
      <c r="N46">
        <v>11872</v>
      </c>
    </row>
    <row r="47" spans="1:14" x14ac:dyDescent="0.25">
      <c r="A47">
        <v>49</v>
      </c>
      <c r="B47" s="2">
        <v>45383</v>
      </c>
      <c r="C47">
        <v>6885713027</v>
      </c>
      <c r="D47" t="s">
        <v>15</v>
      </c>
      <c r="E47" t="s">
        <v>30</v>
      </c>
      <c r="F47" t="s">
        <v>41</v>
      </c>
      <c r="G47" t="s">
        <v>51</v>
      </c>
      <c r="H47" t="s">
        <v>59</v>
      </c>
      <c r="I47" t="s">
        <v>63</v>
      </c>
      <c r="J47" t="s">
        <v>82</v>
      </c>
      <c r="K47" t="s">
        <v>97</v>
      </c>
      <c r="L47">
        <v>532</v>
      </c>
      <c r="M47">
        <v>96</v>
      </c>
      <c r="N47">
        <v>51072</v>
      </c>
    </row>
    <row r="48" spans="1:14" x14ac:dyDescent="0.25">
      <c r="A48">
        <v>50</v>
      </c>
      <c r="B48" s="2">
        <v>45322</v>
      </c>
      <c r="C48">
        <v>5156178317</v>
      </c>
      <c r="D48" t="s">
        <v>25</v>
      </c>
      <c r="E48" t="s">
        <v>33</v>
      </c>
      <c r="F48" t="s">
        <v>49</v>
      </c>
      <c r="G48" t="s">
        <v>50</v>
      </c>
      <c r="H48" t="s">
        <v>60</v>
      </c>
      <c r="I48" t="s">
        <v>62</v>
      </c>
      <c r="J48" t="s">
        <v>74</v>
      </c>
      <c r="K48" t="s">
        <v>88</v>
      </c>
      <c r="L48">
        <v>41.86</v>
      </c>
      <c r="M48">
        <v>75</v>
      </c>
      <c r="N48">
        <v>3139.5</v>
      </c>
    </row>
    <row r="49" spans="1:14" x14ac:dyDescent="0.25">
      <c r="A49">
        <v>51</v>
      </c>
      <c r="B49" s="2">
        <v>45453</v>
      </c>
      <c r="C49">
        <v>9993785470</v>
      </c>
      <c r="D49" t="s">
        <v>24</v>
      </c>
      <c r="E49" t="s">
        <v>32</v>
      </c>
      <c r="F49" t="s">
        <v>43</v>
      </c>
      <c r="G49" t="s">
        <v>57</v>
      </c>
      <c r="H49" t="s">
        <v>59</v>
      </c>
      <c r="I49" t="s">
        <v>61</v>
      </c>
      <c r="J49" t="s">
        <v>78</v>
      </c>
      <c r="K49" t="s">
        <v>97</v>
      </c>
      <c r="L49">
        <v>273</v>
      </c>
      <c r="M49">
        <v>55</v>
      </c>
      <c r="N49">
        <v>15015</v>
      </c>
    </row>
    <row r="50" spans="1:14" x14ac:dyDescent="0.25">
      <c r="A50">
        <v>52</v>
      </c>
      <c r="B50" s="2">
        <v>45568</v>
      </c>
      <c r="C50">
        <v>2344903076</v>
      </c>
      <c r="D50" t="s">
        <v>24</v>
      </c>
      <c r="E50" t="s">
        <v>32</v>
      </c>
      <c r="F50" t="s">
        <v>43</v>
      </c>
      <c r="G50" t="s">
        <v>57</v>
      </c>
      <c r="H50" t="s">
        <v>59</v>
      </c>
      <c r="I50" t="s">
        <v>61</v>
      </c>
      <c r="J50" t="s">
        <v>79</v>
      </c>
      <c r="K50" t="s">
        <v>98</v>
      </c>
      <c r="L50">
        <v>487.19999999999987</v>
      </c>
      <c r="M50">
        <v>11</v>
      </c>
      <c r="N50">
        <v>5359.1999999999989</v>
      </c>
    </row>
    <row r="51" spans="1:14" x14ac:dyDescent="0.25">
      <c r="A51">
        <v>53</v>
      </c>
      <c r="B51" s="2">
        <v>45584</v>
      </c>
      <c r="C51">
        <v>5773601950</v>
      </c>
      <c r="D51" t="s">
        <v>19</v>
      </c>
      <c r="E51" t="s">
        <v>34</v>
      </c>
      <c r="F51" t="s">
        <v>44</v>
      </c>
      <c r="G51" t="s">
        <v>54</v>
      </c>
      <c r="H51" t="s">
        <v>58</v>
      </c>
      <c r="I51" t="s">
        <v>62</v>
      </c>
      <c r="J51" t="s">
        <v>64</v>
      </c>
      <c r="K51" t="s">
        <v>88</v>
      </c>
      <c r="L51">
        <v>196</v>
      </c>
      <c r="M51">
        <v>53</v>
      </c>
      <c r="N51">
        <v>10388</v>
      </c>
    </row>
    <row r="52" spans="1:14" x14ac:dyDescent="0.25">
      <c r="A52">
        <v>54</v>
      </c>
      <c r="B52" s="2">
        <v>45549</v>
      </c>
      <c r="C52">
        <v>4818078168</v>
      </c>
      <c r="D52" t="s">
        <v>17</v>
      </c>
      <c r="E52" t="s">
        <v>31</v>
      </c>
      <c r="F52" t="s">
        <v>42</v>
      </c>
      <c r="G52" t="s">
        <v>52</v>
      </c>
      <c r="H52" t="s">
        <v>58</v>
      </c>
      <c r="I52" t="s">
        <v>61</v>
      </c>
      <c r="J52" t="s">
        <v>73</v>
      </c>
      <c r="K52" t="s">
        <v>93</v>
      </c>
      <c r="L52">
        <v>560</v>
      </c>
      <c r="M52">
        <v>85</v>
      </c>
      <c r="N52">
        <v>47600</v>
      </c>
    </row>
    <row r="53" spans="1:14" x14ac:dyDescent="0.25">
      <c r="A53">
        <v>55</v>
      </c>
      <c r="B53" s="2">
        <v>45639</v>
      </c>
      <c r="C53">
        <v>9107195581</v>
      </c>
      <c r="D53" t="s">
        <v>17</v>
      </c>
      <c r="E53" t="s">
        <v>31</v>
      </c>
      <c r="F53" t="s">
        <v>42</v>
      </c>
      <c r="G53" t="s">
        <v>52</v>
      </c>
      <c r="H53" t="s">
        <v>58</v>
      </c>
      <c r="I53" t="s">
        <v>61</v>
      </c>
      <c r="J53" t="s">
        <v>70</v>
      </c>
      <c r="K53" t="s">
        <v>90</v>
      </c>
      <c r="L53">
        <v>128.80000000000001</v>
      </c>
      <c r="M53">
        <v>97</v>
      </c>
      <c r="N53">
        <v>12493.6</v>
      </c>
    </row>
    <row r="54" spans="1:14" x14ac:dyDescent="0.25">
      <c r="A54">
        <v>56</v>
      </c>
      <c r="B54" s="2">
        <v>45425</v>
      </c>
      <c r="C54">
        <v>5806733138</v>
      </c>
      <c r="D54" t="s">
        <v>26</v>
      </c>
      <c r="E54" t="s">
        <v>36</v>
      </c>
      <c r="F54" t="s">
        <v>46</v>
      </c>
      <c r="G54" t="s">
        <v>56</v>
      </c>
      <c r="H54" t="s">
        <v>59</v>
      </c>
      <c r="I54" t="s">
        <v>63</v>
      </c>
      <c r="J54" t="s">
        <v>83</v>
      </c>
      <c r="K54" t="s">
        <v>90</v>
      </c>
      <c r="L54">
        <v>140</v>
      </c>
      <c r="M54">
        <v>46</v>
      </c>
      <c r="N54">
        <v>6440</v>
      </c>
    </row>
    <row r="55" spans="1:14" x14ac:dyDescent="0.25">
      <c r="A55">
        <v>57</v>
      </c>
      <c r="B55" s="2">
        <v>45343</v>
      </c>
      <c r="C55">
        <v>3059258597</v>
      </c>
      <c r="D55" t="s">
        <v>27</v>
      </c>
      <c r="E55" t="s">
        <v>38</v>
      </c>
      <c r="F55" t="s">
        <v>38</v>
      </c>
      <c r="G55" t="s">
        <v>55</v>
      </c>
      <c r="H55" t="s">
        <v>60</v>
      </c>
      <c r="I55" t="s">
        <v>62</v>
      </c>
      <c r="J55" t="s">
        <v>84</v>
      </c>
      <c r="K55" t="s">
        <v>100</v>
      </c>
      <c r="L55">
        <v>298.89999999999998</v>
      </c>
      <c r="M55">
        <v>97</v>
      </c>
      <c r="N55">
        <v>28993.3</v>
      </c>
    </row>
    <row r="56" spans="1:14" x14ac:dyDescent="0.25">
      <c r="A56">
        <v>58</v>
      </c>
      <c r="B56" s="2">
        <v>45615</v>
      </c>
      <c r="C56">
        <v>586395005</v>
      </c>
      <c r="D56" t="s">
        <v>27</v>
      </c>
      <c r="E56" t="s">
        <v>38</v>
      </c>
      <c r="F56" t="s">
        <v>38</v>
      </c>
      <c r="G56" t="s">
        <v>55</v>
      </c>
      <c r="H56" t="s">
        <v>60</v>
      </c>
      <c r="I56" t="s">
        <v>62</v>
      </c>
      <c r="J56" t="s">
        <v>72</v>
      </c>
      <c r="K56" t="s">
        <v>92</v>
      </c>
      <c r="L56">
        <v>135.1</v>
      </c>
      <c r="M56">
        <v>97</v>
      </c>
      <c r="N56">
        <v>13104.7</v>
      </c>
    </row>
    <row r="57" spans="1:14" x14ac:dyDescent="0.25">
      <c r="A57">
        <v>59</v>
      </c>
      <c r="B57" s="2">
        <v>45536</v>
      </c>
      <c r="C57">
        <v>9281389647</v>
      </c>
      <c r="D57" t="s">
        <v>27</v>
      </c>
      <c r="E57" t="s">
        <v>38</v>
      </c>
      <c r="F57" t="s">
        <v>38</v>
      </c>
      <c r="G57" t="s">
        <v>55</v>
      </c>
      <c r="H57" t="s">
        <v>60</v>
      </c>
      <c r="I57" t="s">
        <v>62</v>
      </c>
      <c r="J57" t="s">
        <v>77</v>
      </c>
      <c r="K57" t="s">
        <v>96</v>
      </c>
      <c r="L57">
        <v>257.60000000000002</v>
      </c>
      <c r="M57">
        <v>65</v>
      </c>
      <c r="N57">
        <v>16744</v>
      </c>
    </row>
    <row r="58" spans="1:14" x14ac:dyDescent="0.25">
      <c r="A58">
        <v>60</v>
      </c>
      <c r="B58" s="2">
        <v>45632</v>
      </c>
      <c r="C58">
        <v>2230409971</v>
      </c>
      <c r="D58" t="s">
        <v>18</v>
      </c>
      <c r="E58" t="s">
        <v>32</v>
      </c>
      <c r="F58" t="s">
        <v>43</v>
      </c>
      <c r="G58" t="s">
        <v>53</v>
      </c>
      <c r="H58" t="s">
        <v>58</v>
      </c>
      <c r="I58" t="s">
        <v>61</v>
      </c>
      <c r="J58" t="s">
        <v>64</v>
      </c>
      <c r="K58" t="s">
        <v>88</v>
      </c>
      <c r="L58">
        <v>196</v>
      </c>
      <c r="M58">
        <v>72</v>
      </c>
      <c r="N58">
        <v>14112</v>
      </c>
    </row>
    <row r="59" spans="1:14" x14ac:dyDescent="0.25">
      <c r="A59">
        <v>61</v>
      </c>
      <c r="B59" s="2">
        <v>45443</v>
      </c>
      <c r="C59">
        <v>498762200</v>
      </c>
      <c r="D59" t="s">
        <v>19</v>
      </c>
      <c r="E59" t="s">
        <v>34</v>
      </c>
      <c r="F59" t="s">
        <v>44</v>
      </c>
      <c r="G59" t="s">
        <v>54</v>
      </c>
      <c r="H59" t="s">
        <v>60</v>
      </c>
      <c r="I59" t="s">
        <v>61</v>
      </c>
      <c r="J59" t="s">
        <v>71</v>
      </c>
      <c r="K59" t="s">
        <v>91</v>
      </c>
      <c r="L59">
        <v>178.5</v>
      </c>
      <c r="M59">
        <v>16</v>
      </c>
      <c r="N59">
        <v>2856</v>
      </c>
    </row>
    <row r="60" spans="1:14" x14ac:dyDescent="0.25">
      <c r="A60">
        <v>62</v>
      </c>
      <c r="B60" s="2">
        <v>45316</v>
      </c>
      <c r="C60">
        <v>5059332572</v>
      </c>
      <c r="D60" t="s">
        <v>15</v>
      </c>
      <c r="E60" t="s">
        <v>30</v>
      </c>
      <c r="F60" t="s">
        <v>41</v>
      </c>
      <c r="G60" t="s">
        <v>51</v>
      </c>
      <c r="H60" t="s">
        <v>59</v>
      </c>
      <c r="I60" t="s">
        <v>62</v>
      </c>
      <c r="J60" t="s">
        <v>85</v>
      </c>
      <c r="K60" t="s">
        <v>94</v>
      </c>
      <c r="L60">
        <v>1134</v>
      </c>
      <c r="M60">
        <v>77</v>
      </c>
      <c r="N60">
        <v>87318</v>
      </c>
    </row>
    <row r="61" spans="1:14" x14ac:dyDescent="0.25">
      <c r="A61">
        <v>63</v>
      </c>
      <c r="B61" s="2">
        <v>45495</v>
      </c>
      <c r="C61">
        <v>807667000</v>
      </c>
      <c r="D61" t="s">
        <v>15</v>
      </c>
      <c r="E61" t="s">
        <v>30</v>
      </c>
      <c r="F61" t="s">
        <v>41</v>
      </c>
      <c r="G61" t="s">
        <v>51</v>
      </c>
      <c r="H61" t="s">
        <v>59</v>
      </c>
      <c r="I61" t="s">
        <v>62</v>
      </c>
      <c r="J61" t="s">
        <v>86</v>
      </c>
      <c r="K61" t="s">
        <v>101</v>
      </c>
      <c r="L61">
        <v>98</v>
      </c>
      <c r="M61">
        <v>37</v>
      </c>
      <c r="N61">
        <v>3626</v>
      </c>
    </row>
    <row r="62" spans="1:14" x14ac:dyDescent="0.25">
      <c r="A62">
        <v>64</v>
      </c>
      <c r="B62" s="2">
        <v>45578</v>
      </c>
      <c r="C62">
        <v>4320869422</v>
      </c>
      <c r="D62" t="s">
        <v>17</v>
      </c>
      <c r="E62" t="s">
        <v>31</v>
      </c>
      <c r="F62" t="s">
        <v>42</v>
      </c>
      <c r="G62" t="s">
        <v>52</v>
      </c>
      <c r="H62" t="s">
        <v>60</v>
      </c>
      <c r="I62" t="s">
        <v>62</v>
      </c>
      <c r="J62" t="s">
        <v>79</v>
      </c>
      <c r="K62" t="s">
        <v>98</v>
      </c>
      <c r="L62">
        <v>487.19999999999987</v>
      </c>
      <c r="M62">
        <v>63</v>
      </c>
      <c r="N62">
        <v>30693.599999999991</v>
      </c>
    </row>
    <row r="63" spans="1:14" x14ac:dyDescent="0.25">
      <c r="A63">
        <v>65</v>
      </c>
      <c r="B63" s="2">
        <v>45635</v>
      </c>
      <c r="C63">
        <v>7227542762</v>
      </c>
      <c r="D63" t="s">
        <v>25</v>
      </c>
      <c r="E63" t="s">
        <v>33</v>
      </c>
      <c r="F63" t="s">
        <v>49</v>
      </c>
      <c r="G63" t="s">
        <v>50</v>
      </c>
      <c r="H63" t="s">
        <v>58</v>
      </c>
      <c r="I63" t="s">
        <v>63</v>
      </c>
      <c r="J63" t="s">
        <v>87</v>
      </c>
      <c r="K63" t="s">
        <v>95</v>
      </c>
      <c r="L63">
        <v>140</v>
      </c>
      <c r="M63">
        <v>48</v>
      </c>
      <c r="N63">
        <v>6720</v>
      </c>
    </row>
    <row r="64" spans="1:14" x14ac:dyDescent="0.25">
      <c r="A64">
        <v>66</v>
      </c>
      <c r="B64" s="2">
        <v>45351</v>
      </c>
      <c r="C64">
        <v>4844854212</v>
      </c>
      <c r="D64" t="s">
        <v>25</v>
      </c>
      <c r="E64" t="s">
        <v>33</v>
      </c>
      <c r="F64" t="s">
        <v>49</v>
      </c>
      <c r="G64" t="s">
        <v>50</v>
      </c>
      <c r="H64" t="s">
        <v>58</v>
      </c>
      <c r="I64" t="s">
        <v>63</v>
      </c>
      <c r="J64" t="s">
        <v>73</v>
      </c>
      <c r="K64" t="s">
        <v>93</v>
      </c>
      <c r="L64">
        <v>560</v>
      </c>
      <c r="M64">
        <v>71</v>
      </c>
      <c r="N64">
        <v>39760</v>
      </c>
    </row>
    <row r="65" spans="1:14" x14ac:dyDescent="0.25">
      <c r="A65">
        <v>67</v>
      </c>
      <c r="B65" s="2">
        <v>45406</v>
      </c>
      <c r="C65">
        <v>6476704094</v>
      </c>
      <c r="D65" t="s">
        <v>21</v>
      </c>
      <c r="E65" t="s">
        <v>36</v>
      </c>
      <c r="F65" t="s">
        <v>46</v>
      </c>
      <c r="G65" t="s">
        <v>56</v>
      </c>
      <c r="H65" t="s">
        <v>58</v>
      </c>
      <c r="I65" t="s">
        <v>62</v>
      </c>
      <c r="J65" t="s">
        <v>80</v>
      </c>
      <c r="K65" t="s">
        <v>89</v>
      </c>
      <c r="L65">
        <v>140</v>
      </c>
      <c r="M65">
        <v>55</v>
      </c>
      <c r="N65">
        <v>7700</v>
      </c>
    </row>
    <row r="66" spans="1:14" x14ac:dyDescent="0.25">
      <c r="A66">
        <v>68</v>
      </c>
      <c r="B66" s="2">
        <v>45513</v>
      </c>
      <c r="C66">
        <v>289513623</v>
      </c>
      <c r="D66" t="s">
        <v>21</v>
      </c>
      <c r="E66" t="s">
        <v>36</v>
      </c>
      <c r="F66" t="s">
        <v>46</v>
      </c>
      <c r="G66" t="s">
        <v>56</v>
      </c>
      <c r="H66" t="s">
        <v>59</v>
      </c>
      <c r="I66" t="s">
        <v>61</v>
      </c>
      <c r="J66" t="s">
        <v>65</v>
      </c>
      <c r="K66" t="s">
        <v>89</v>
      </c>
      <c r="L66">
        <v>49</v>
      </c>
      <c r="M66">
        <v>21</v>
      </c>
      <c r="N66">
        <v>1029</v>
      </c>
    </row>
    <row r="67" spans="1:14" x14ac:dyDescent="0.25">
      <c r="A67">
        <v>69</v>
      </c>
      <c r="B67" s="2">
        <v>45576</v>
      </c>
      <c r="C67">
        <v>4360909288</v>
      </c>
      <c r="D67" t="s">
        <v>22</v>
      </c>
      <c r="E67" t="s">
        <v>38</v>
      </c>
      <c r="F67" t="s">
        <v>38</v>
      </c>
      <c r="G67" t="s">
        <v>55</v>
      </c>
      <c r="H67" t="s">
        <v>60</v>
      </c>
      <c r="I67" t="s">
        <v>61</v>
      </c>
      <c r="J67" t="s">
        <v>73</v>
      </c>
      <c r="K67" t="s">
        <v>93</v>
      </c>
      <c r="L67">
        <v>560</v>
      </c>
      <c r="M67">
        <v>67</v>
      </c>
      <c r="N67">
        <v>37520</v>
      </c>
    </row>
    <row r="68" spans="1:14" x14ac:dyDescent="0.25">
      <c r="A68">
        <v>70</v>
      </c>
      <c r="B68" s="2">
        <v>45427</v>
      </c>
      <c r="C68">
        <v>1569352924</v>
      </c>
      <c r="D68" t="s">
        <v>23</v>
      </c>
      <c r="E68" t="s">
        <v>39</v>
      </c>
      <c r="F68" t="s">
        <v>48</v>
      </c>
      <c r="G68" t="s">
        <v>52</v>
      </c>
      <c r="H68" t="s">
        <v>60</v>
      </c>
      <c r="I68" t="s">
        <v>63</v>
      </c>
      <c r="J68" t="s">
        <v>77</v>
      </c>
      <c r="K68" t="s">
        <v>96</v>
      </c>
      <c r="L68">
        <v>257.60000000000002</v>
      </c>
      <c r="M68">
        <v>75</v>
      </c>
      <c r="N68">
        <v>19320</v>
      </c>
    </row>
    <row r="69" spans="1:14" x14ac:dyDescent="0.25">
      <c r="A69">
        <v>71</v>
      </c>
      <c r="B69" s="2">
        <v>45423</v>
      </c>
      <c r="C69">
        <v>4417023777</v>
      </c>
      <c r="D69" t="s">
        <v>20</v>
      </c>
      <c r="E69" t="s">
        <v>35</v>
      </c>
      <c r="F69" t="s">
        <v>45</v>
      </c>
      <c r="G69" t="s">
        <v>55</v>
      </c>
      <c r="H69" t="s">
        <v>60</v>
      </c>
      <c r="I69" t="s">
        <v>62</v>
      </c>
      <c r="J69" t="s">
        <v>69</v>
      </c>
      <c r="K69" t="s">
        <v>88</v>
      </c>
      <c r="L69">
        <v>644</v>
      </c>
      <c r="M69">
        <v>17</v>
      </c>
      <c r="N69">
        <v>10948</v>
      </c>
    </row>
    <row r="70" spans="1:14" x14ac:dyDescent="0.25">
      <c r="A70">
        <v>72</v>
      </c>
      <c r="B70" s="2">
        <v>45306</v>
      </c>
      <c r="C70">
        <v>5213348963</v>
      </c>
      <c r="D70" t="s">
        <v>15</v>
      </c>
      <c r="E70" t="s">
        <v>30</v>
      </c>
      <c r="F70" t="s">
        <v>41</v>
      </c>
      <c r="G70" t="s">
        <v>51</v>
      </c>
      <c r="H70" t="s">
        <v>59</v>
      </c>
      <c r="I70" t="s">
        <v>62</v>
      </c>
      <c r="J70" t="s">
        <v>65</v>
      </c>
      <c r="K70" t="s">
        <v>89</v>
      </c>
      <c r="L70">
        <v>49</v>
      </c>
      <c r="M70">
        <v>48</v>
      </c>
      <c r="N70">
        <v>2352</v>
      </c>
    </row>
    <row r="71" spans="1:14" x14ac:dyDescent="0.25">
      <c r="A71">
        <v>73</v>
      </c>
      <c r="B71" s="2">
        <v>45471</v>
      </c>
      <c r="C71">
        <v>6039525395</v>
      </c>
      <c r="D71" t="s">
        <v>16</v>
      </c>
      <c r="E71" t="s">
        <v>29</v>
      </c>
      <c r="F71" t="s">
        <v>40</v>
      </c>
      <c r="G71" t="s">
        <v>50</v>
      </c>
      <c r="H71" t="s">
        <v>58</v>
      </c>
      <c r="I71" t="s">
        <v>62</v>
      </c>
      <c r="J71" t="s">
        <v>68</v>
      </c>
      <c r="K71" t="s">
        <v>88</v>
      </c>
      <c r="L71">
        <v>252</v>
      </c>
      <c r="M71">
        <v>74</v>
      </c>
      <c r="N71">
        <v>18648</v>
      </c>
    </row>
    <row r="72" spans="1:14" x14ac:dyDescent="0.25">
      <c r="A72">
        <v>74</v>
      </c>
      <c r="B72" s="2">
        <v>45584</v>
      </c>
      <c r="C72">
        <v>7564866770</v>
      </c>
      <c r="D72" t="s">
        <v>16</v>
      </c>
      <c r="E72" t="s">
        <v>29</v>
      </c>
      <c r="F72" t="s">
        <v>40</v>
      </c>
      <c r="G72" t="s">
        <v>50</v>
      </c>
      <c r="H72" t="s">
        <v>58</v>
      </c>
      <c r="I72" t="s">
        <v>62</v>
      </c>
      <c r="J72" t="s">
        <v>69</v>
      </c>
      <c r="K72" t="s">
        <v>88</v>
      </c>
      <c r="L72">
        <v>644</v>
      </c>
      <c r="M72">
        <v>96</v>
      </c>
      <c r="N72">
        <v>61824</v>
      </c>
    </row>
    <row r="73" spans="1:14" x14ac:dyDescent="0.25">
      <c r="A73">
        <v>75</v>
      </c>
      <c r="B73" s="2">
        <v>45437</v>
      </c>
      <c r="C73">
        <v>9161740728</v>
      </c>
      <c r="D73" t="s">
        <v>17</v>
      </c>
      <c r="E73" t="s">
        <v>31</v>
      </c>
      <c r="F73" t="s">
        <v>42</v>
      </c>
      <c r="G73" t="s">
        <v>52</v>
      </c>
      <c r="H73" t="s">
        <v>60</v>
      </c>
      <c r="I73" t="s">
        <v>62</v>
      </c>
      <c r="J73" t="s">
        <v>70</v>
      </c>
      <c r="K73" t="s">
        <v>90</v>
      </c>
      <c r="L73">
        <v>128.80000000000001</v>
      </c>
      <c r="M73">
        <v>12</v>
      </c>
      <c r="N73">
        <v>1545.6</v>
      </c>
    </row>
    <row r="74" spans="1:14" x14ac:dyDescent="0.25">
      <c r="A74">
        <v>76</v>
      </c>
      <c r="B74" s="2">
        <v>45400</v>
      </c>
      <c r="C74">
        <v>5854661633</v>
      </c>
      <c r="D74" t="s">
        <v>15</v>
      </c>
      <c r="E74" t="s">
        <v>30</v>
      </c>
      <c r="F74" t="s">
        <v>41</v>
      </c>
      <c r="G74" t="s">
        <v>51</v>
      </c>
      <c r="H74" t="s">
        <v>60</v>
      </c>
      <c r="I74" t="s">
        <v>61</v>
      </c>
      <c r="J74" t="s">
        <v>70</v>
      </c>
      <c r="K74" t="s">
        <v>90</v>
      </c>
      <c r="L74">
        <v>128.80000000000001</v>
      </c>
      <c r="M74">
        <v>62</v>
      </c>
      <c r="N74">
        <v>7985.5999999999995</v>
      </c>
    </row>
    <row r="75" spans="1:14" x14ac:dyDescent="0.25">
      <c r="A75">
        <v>77</v>
      </c>
      <c r="B75" s="2">
        <v>45456</v>
      </c>
      <c r="C75">
        <v>9782824487</v>
      </c>
      <c r="D75" t="s">
        <v>18</v>
      </c>
      <c r="E75" t="s">
        <v>32</v>
      </c>
      <c r="F75" t="s">
        <v>43</v>
      </c>
      <c r="G75" t="s">
        <v>53</v>
      </c>
      <c r="H75" t="s">
        <v>58</v>
      </c>
      <c r="I75" t="s">
        <v>61</v>
      </c>
      <c r="J75" t="s">
        <v>71</v>
      </c>
      <c r="K75" t="s">
        <v>91</v>
      </c>
      <c r="L75">
        <v>178.5</v>
      </c>
      <c r="M75">
        <v>35</v>
      </c>
      <c r="N75">
        <v>6247.5</v>
      </c>
    </row>
    <row r="76" spans="1:14" x14ac:dyDescent="0.25">
      <c r="A76">
        <v>78</v>
      </c>
      <c r="B76" s="2">
        <v>45349</v>
      </c>
      <c r="C76">
        <v>5368581132</v>
      </c>
      <c r="D76" t="s">
        <v>25</v>
      </c>
      <c r="E76" t="s">
        <v>33</v>
      </c>
      <c r="F76" t="s">
        <v>49</v>
      </c>
      <c r="G76" t="s">
        <v>50</v>
      </c>
      <c r="H76" t="s">
        <v>58</v>
      </c>
      <c r="I76" t="s">
        <v>63</v>
      </c>
      <c r="J76" t="s">
        <v>72</v>
      </c>
      <c r="K76" t="s">
        <v>92</v>
      </c>
      <c r="L76">
        <v>135.1</v>
      </c>
      <c r="M76">
        <v>95</v>
      </c>
      <c r="N76">
        <v>12834.5</v>
      </c>
    </row>
    <row r="77" spans="1:14" x14ac:dyDescent="0.25">
      <c r="A77">
        <v>79</v>
      </c>
      <c r="B77" s="2">
        <v>45452</v>
      </c>
      <c r="C77">
        <v>1972466220</v>
      </c>
      <c r="D77" t="s">
        <v>19</v>
      </c>
      <c r="E77" t="s">
        <v>34</v>
      </c>
      <c r="F77" t="s">
        <v>44</v>
      </c>
      <c r="G77" t="s">
        <v>54</v>
      </c>
      <c r="H77" t="s">
        <v>58</v>
      </c>
      <c r="I77" t="s">
        <v>62</v>
      </c>
      <c r="J77" t="s">
        <v>73</v>
      </c>
      <c r="K77" t="s">
        <v>93</v>
      </c>
      <c r="L77">
        <v>560</v>
      </c>
      <c r="M77">
        <v>17</v>
      </c>
      <c r="N77">
        <v>9520</v>
      </c>
    </row>
    <row r="78" spans="1:14" x14ac:dyDescent="0.25">
      <c r="A78">
        <v>80</v>
      </c>
      <c r="B78" s="2">
        <v>45610</v>
      </c>
      <c r="C78">
        <v>6835780904</v>
      </c>
      <c r="D78" t="s">
        <v>20</v>
      </c>
      <c r="E78" t="s">
        <v>35</v>
      </c>
      <c r="F78" t="s">
        <v>45</v>
      </c>
      <c r="G78" t="s">
        <v>55</v>
      </c>
      <c r="H78" t="s">
        <v>60</v>
      </c>
      <c r="I78" t="s">
        <v>61</v>
      </c>
      <c r="J78" t="s">
        <v>69</v>
      </c>
      <c r="K78" t="s">
        <v>88</v>
      </c>
      <c r="L78">
        <v>644</v>
      </c>
      <c r="M78">
        <v>96</v>
      </c>
      <c r="N78">
        <v>61824</v>
      </c>
    </row>
    <row r="79" spans="1:14" x14ac:dyDescent="0.25">
      <c r="A79">
        <v>81</v>
      </c>
      <c r="B79" s="2">
        <v>45490</v>
      </c>
      <c r="C79">
        <v>9361876990</v>
      </c>
      <c r="D79" t="s">
        <v>17</v>
      </c>
      <c r="E79" t="s">
        <v>31</v>
      </c>
      <c r="F79" t="s">
        <v>42</v>
      </c>
      <c r="G79" t="s">
        <v>52</v>
      </c>
      <c r="H79" t="s">
        <v>60</v>
      </c>
      <c r="I79" t="s">
        <v>61</v>
      </c>
      <c r="J79" t="s">
        <v>71</v>
      </c>
      <c r="K79" t="s">
        <v>91</v>
      </c>
      <c r="L79">
        <v>178.5</v>
      </c>
      <c r="M79">
        <v>83</v>
      </c>
      <c r="N79">
        <v>14815.5</v>
      </c>
    </row>
    <row r="80" spans="1:14" x14ac:dyDescent="0.25">
      <c r="A80">
        <v>82</v>
      </c>
      <c r="B80" s="2">
        <v>45292</v>
      </c>
      <c r="C80">
        <v>7655628230</v>
      </c>
      <c r="D80" t="s">
        <v>21</v>
      </c>
      <c r="E80" t="s">
        <v>36</v>
      </c>
      <c r="F80" t="s">
        <v>46</v>
      </c>
      <c r="G80" t="s">
        <v>56</v>
      </c>
      <c r="H80" t="s">
        <v>58</v>
      </c>
      <c r="I80" t="s">
        <v>62</v>
      </c>
      <c r="J80" t="s">
        <v>74</v>
      </c>
      <c r="K80" t="s">
        <v>88</v>
      </c>
      <c r="L80">
        <v>41.86</v>
      </c>
      <c r="M80">
        <v>88</v>
      </c>
      <c r="N80">
        <v>3683.68</v>
      </c>
    </row>
    <row r="81" spans="1:14" x14ac:dyDescent="0.25">
      <c r="A81">
        <v>83</v>
      </c>
      <c r="B81" s="2">
        <v>45413</v>
      </c>
      <c r="C81">
        <v>6770397729</v>
      </c>
      <c r="D81" t="s">
        <v>28</v>
      </c>
      <c r="E81" t="s">
        <v>37</v>
      </c>
      <c r="F81" t="s">
        <v>47</v>
      </c>
      <c r="G81" t="s">
        <v>52</v>
      </c>
      <c r="H81" t="s">
        <v>60</v>
      </c>
      <c r="I81" t="s">
        <v>63</v>
      </c>
      <c r="J81" t="s">
        <v>69</v>
      </c>
      <c r="K81" t="s">
        <v>88</v>
      </c>
      <c r="L81">
        <v>644</v>
      </c>
      <c r="M81">
        <v>59</v>
      </c>
      <c r="N81">
        <v>38090</v>
      </c>
    </row>
    <row r="82" spans="1:14" x14ac:dyDescent="0.25">
      <c r="A82">
        <v>84</v>
      </c>
      <c r="B82" s="2">
        <v>45560</v>
      </c>
      <c r="C82">
        <v>6622149015</v>
      </c>
      <c r="D82" t="s">
        <v>21</v>
      </c>
      <c r="E82" t="s">
        <v>36</v>
      </c>
      <c r="F82" t="s">
        <v>46</v>
      </c>
      <c r="G82" t="s">
        <v>56</v>
      </c>
      <c r="H82" t="s">
        <v>59</v>
      </c>
      <c r="I82" t="s">
        <v>63</v>
      </c>
      <c r="J82" t="s">
        <v>75</v>
      </c>
      <c r="K82" t="s">
        <v>94</v>
      </c>
      <c r="L82">
        <v>350</v>
      </c>
      <c r="M82">
        <v>27</v>
      </c>
      <c r="N82">
        <v>9450</v>
      </c>
    </row>
    <row r="83" spans="1:14" x14ac:dyDescent="0.25">
      <c r="A83">
        <v>85</v>
      </c>
      <c r="B83" s="2">
        <v>45532</v>
      </c>
      <c r="C83">
        <v>8859429908</v>
      </c>
      <c r="D83" t="s">
        <v>21</v>
      </c>
      <c r="E83" t="s">
        <v>36</v>
      </c>
      <c r="F83" t="s">
        <v>46</v>
      </c>
      <c r="G83" t="s">
        <v>56</v>
      </c>
      <c r="H83" t="s">
        <v>59</v>
      </c>
      <c r="I83" t="s">
        <v>63</v>
      </c>
      <c r="J83" t="s">
        <v>76</v>
      </c>
      <c r="K83" t="s">
        <v>95</v>
      </c>
      <c r="L83">
        <v>308</v>
      </c>
      <c r="M83">
        <v>37</v>
      </c>
      <c r="N83">
        <v>11396</v>
      </c>
    </row>
    <row r="84" spans="1:14" x14ac:dyDescent="0.25">
      <c r="A84">
        <v>86</v>
      </c>
      <c r="B84" s="2">
        <v>45565</v>
      </c>
      <c r="C84">
        <v>146252536</v>
      </c>
      <c r="D84" t="s">
        <v>21</v>
      </c>
      <c r="E84" t="s">
        <v>36</v>
      </c>
      <c r="F84" t="s">
        <v>46</v>
      </c>
      <c r="G84" t="s">
        <v>56</v>
      </c>
      <c r="H84" t="s">
        <v>59</v>
      </c>
      <c r="I84" t="s">
        <v>61</v>
      </c>
      <c r="J84" t="s">
        <v>70</v>
      </c>
      <c r="K84" t="s">
        <v>90</v>
      </c>
      <c r="L84">
        <v>128.80000000000001</v>
      </c>
      <c r="M84">
        <v>75</v>
      </c>
      <c r="N84">
        <v>9659.9999999999982</v>
      </c>
    </row>
    <row r="85" spans="1:14" x14ac:dyDescent="0.25">
      <c r="A85">
        <v>87</v>
      </c>
      <c r="B85" s="2">
        <v>45327</v>
      </c>
      <c r="C85">
        <v>9010865731</v>
      </c>
      <c r="D85" t="s">
        <v>22</v>
      </c>
      <c r="E85" t="s">
        <v>38</v>
      </c>
      <c r="F85" t="s">
        <v>38</v>
      </c>
      <c r="G85" t="s">
        <v>55</v>
      </c>
      <c r="H85" t="s">
        <v>60</v>
      </c>
      <c r="I85" t="s">
        <v>61</v>
      </c>
      <c r="J85" t="s">
        <v>65</v>
      </c>
      <c r="K85" t="s">
        <v>89</v>
      </c>
      <c r="L85">
        <v>49</v>
      </c>
      <c r="M85">
        <v>71</v>
      </c>
      <c r="N85">
        <v>3479</v>
      </c>
    </row>
    <row r="86" spans="1:14" x14ac:dyDescent="0.25">
      <c r="A86">
        <v>88</v>
      </c>
      <c r="B86" s="2">
        <v>45478</v>
      </c>
      <c r="C86">
        <v>9076170123</v>
      </c>
      <c r="D86" t="s">
        <v>22</v>
      </c>
      <c r="E86" t="s">
        <v>38</v>
      </c>
      <c r="F86" t="s">
        <v>38</v>
      </c>
      <c r="G86" t="s">
        <v>55</v>
      </c>
      <c r="H86" t="s">
        <v>60</v>
      </c>
      <c r="I86" t="s">
        <v>62</v>
      </c>
      <c r="J86" t="s">
        <v>74</v>
      </c>
      <c r="K86" t="s">
        <v>88</v>
      </c>
      <c r="L86">
        <v>41.86</v>
      </c>
      <c r="M86">
        <v>88</v>
      </c>
      <c r="N86">
        <v>3683.68</v>
      </c>
    </row>
    <row r="87" spans="1:14" x14ac:dyDescent="0.25">
      <c r="A87">
        <v>89</v>
      </c>
      <c r="B87" s="2">
        <v>45385</v>
      </c>
      <c r="C87">
        <v>4412491838</v>
      </c>
      <c r="D87" t="s">
        <v>23</v>
      </c>
      <c r="E87" t="s">
        <v>39</v>
      </c>
      <c r="F87" t="s">
        <v>48</v>
      </c>
      <c r="G87" t="s">
        <v>52</v>
      </c>
      <c r="H87" t="s">
        <v>58</v>
      </c>
      <c r="I87" t="s">
        <v>62</v>
      </c>
      <c r="J87" t="s">
        <v>68</v>
      </c>
      <c r="K87" t="s">
        <v>88</v>
      </c>
      <c r="L87">
        <v>252</v>
      </c>
      <c r="M87">
        <v>55</v>
      </c>
      <c r="N87">
        <v>13860</v>
      </c>
    </row>
    <row r="88" spans="1:14" x14ac:dyDescent="0.25">
      <c r="A88">
        <v>90</v>
      </c>
      <c r="B88" s="2">
        <v>45425</v>
      </c>
      <c r="C88">
        <v>7223227521</v>
      </c>
      <c r="D88" t="s">
        <v>102</v>
      </c>
      <c r="E88" t="s">
        <v>32</v>
      </c>
      <c r="F88" t="s">
        <v>43</v>
      </c>
      <c r="G88" t="s">
        <v>53</v>
      </c>
      <c r="H88" t="s">
        <v>58</v>
      </c>
      <c r="I88" t="s">
        <v>61</v>
      </c>
      <c r="J88" t="s">
        <v>71</v>
      </c>
      <c r="K88" t="s">
        <v>91</v>
      </c>
      <c r="L88">
        <v>178.5</v>
      </c>
      <c r="M88">
        <v>14</v>
      </c>
      <c r="N88">
        <v>2661</v>
      </c>
    </row>
    <row r="89" spans="1:14" x14ac:dyDescent="0.25">
      <c r="A89">
        <v>91</v>
      </c>
      <c r="B89" s="2">
        <v>45455</v>
      </c>
      <c r="C89">
        <v>9595973394</v>
      </c>
      <c r="D89" t="s">
        <v>25</v>
      </c>
      <c r="E89" t="s">
        <v>33</v>
      </c>
      <c r="F89" t="s">
        <v>49</v>
      </c>
      <c r="G89" t="s">
        <v>50</v>
      </c>
      <c r="H89" t="s">
        <v>58</v>
      </c>
      <c r="I89" t="s">
        <v>63</v>
      </c>
      <c r="J89" t="s">
        <v>72</v>
      </c>
      <c r="K89" t="s">
        <v>92</v>
      </c>
      <c r="L89">
        <v>135.1</v>
      </c>
      <c r="M89">
        <v>43</v>
      </c>
      <c r="N89">
        <v>5809.3</v>
      </c>
    </row>
    <row r="90" spans="1:14" x14ac:dyDescent="0.25">
      <c r="A90">
        <v>92</v>
      </c>
      <c r="B90" s="2">
        <v>45352</v>
      </c>
      <c r="C90">
        <v>2755531090</v>
      </c>
      <c r="D90" t="s">
        <v>19</v>
      </c>
      <c r="E90" t="s">
        <v>34</v>
      </c>
      <c r="F90" t="s">
        <v>44</v>
      </c>
      <c r="G90" t="s">
        <v>54</v>
      </c>
      <c r="H90" t="s">
        <v>58</v>
      </c>
      <c r="I90" t="s">
        <v>62</v>
      </c>
      <c r="J90" t="s">
        <v>73</v>
      </c>
      <c r="K90" t="s">
        <v>93</v>
      </c>
      <c r="L90">
        <v>560</v>
      </c>
      <c r="M90">
        <v>63</v>
      </c>
      <c r="N90">
        <v>35280</v>
      </c>
    </row>
    <row r="91" spans="1:14" x14ac:dyDescent="0.25">
      <c r="A91">
        <v>93</v>
      </c>
      <c r="B91" s="2">
        <v>45530</v>
      </c>
      <c r="C91">
        <v>5306800000</v>
      </c>
      <c r="D91" t="s">
        <v>20</v>
      </c>
      <c r="E91" t="s">
        <v>35</v>
      </c>
      <c r="F91" t="s">
        <v>45</v>
      </c>
      <c r="G91" t="s">
        <v>55</v>
      </c>
      <c r="H91" t="s">
        <v>60</v>
      </c>
      <c r="I91" t="s">
        <v>61</v>
      </c>
      <c r="J91" t="s">
        <v>69</v>
      </c>
      <c r="K91" t="s">
        <v>88</v>
      </c>
      <c r="L91">
        <v>644</v>
      </c>
      <c r="M91">
        <v>36</v>
      </c>
      <c r="N91">
        <v>23184</v>
      </c>
    </row>
    <row r="92" spans="1:14" x14ac:dyDescent="0.25">
      <c r="A92">
        <v>94</v>
      </c>
      <c r="B92" s="2">
        <v>45632</v>
      </c>
      <c r="C92">
        <v>6768826719</v>
      </c>
      <c r="D92" t="s">
        <v>17</v>
      </c>
      <c r="E92" t="s">
        <v>31</v>
      </c>
      <c r="F92" t="s">
        <v>42</v>
      </c>
      <c r="G92" t="s">
        <v>52</v>
      </c>
      <c r="H92" t="s">
        <v>60</v>
      </c>
      <c r="I92" t="s">
        <v>61</v>
      </c>
      <c r="J92" t="s">
        <v>71</v>
      </c>
      <c r="K92" t="s">
        <v>91</v>
      </c>
      <c r="L92">
        <v>178.5</v>
      </c>
      <c r="M92">
        <v>41</v>
      </c>
      <c r="N92">
        <v>7318.5</v>
      </c>
    </row>
    <row r="93" spans="1:14" x14ac:dyDescent="0.25">
      <c r="A93">
        <v>95</v>
      </c>
      <c r="B93" s="2">
        <v>45384</v>
      </c>
      <c r="C93">
        <v>7945500000</v>
      </c>
      <c r="D93" t="s">
        <v>21</v>
      </c>
      <c r="E93" t="s">
        <v>36</v>
      </c>
      <c r="F93" t="s">
        <v>46</v>
      </c>
      <c r="G93" t="s">
        <v>56</v>
      </c>
      <c r="H93" t="s">
        <v>58</v>
      </c>
      <c r="I93" t="s">
        <v>62</v>
      </c>
      <c r="J93" t="s">
        <v>74</v>
      </c>
      <c r="K93" t="s">
        <v>88</v>
      </c>
      <c r="L93">
        <v>41.86</v>
      </c>
      <c r="M93">
        <v>35</v>
      </c>
      <c r="N93">
        <v>1465.1</v>
      </c>
    </row>
    <row r="94" spans="1:14" x14ac:dyDescent="0.25">
      <c r="A94">
        <v>96</v>
      </c>
      <c r="B94" s="2">
        <v>45384</v>
      </c>
      <c r="C94">
        <v>4671327569</v>
      </c>
      <c r="D94" t="s">
        <v>28</v>
      </c>
      <c r="E94" t="s">
        <v>37</v>
      </c>
      <c r="F94" t="s">
        <v>47</v>
      </c>
      <c r="G94" t="s">
        <v>52</v>
      </c>
      <c r="H94" t="s">
        <v>58</v>
      </c>
      <c r="I94" t="s">
        <v>63</v>
      </c>
      <c r="J94" t="s">
        <v>69</v>
      </c>
      <c r="K94" t="s">
        <v>88</v>
      </c>
      <c r="L94">
        <v>644</v>
      </c>
      <c r="M94">
        <v>31</v>
      </c>
      <c r="N94">
        <v>19964</v>
      </c>
    </row>
    <row r="95" spans="1:14" x14ac:dyDescent="0.25">
      <c r="A95">
        <v>97</v>
      </c>
      <c r="B95" s="2">
        <v>45561</v>
      </c>
      <c r="C95">
        <v>5750783013</v>
      </c>
      <c r="D95" t="s">
        <v>21</v>
      </c>
      <c r="E95" t="s">
        <v>36</v>
      </c>
      <c r="F95" t="s">
        <v>46</v>
      </c>
      <c r="G95" t="s">
        <v>56</v>
      </c>
      <c r="H95" t="s">
        <v>59</v>
      </c>
      <c r="I95" t="s">
        <v>63</v>
      </c>
      <c r="J95" t="s">
        <v>75</v>
      </c>
      <c r="K95" t="s">
        <v>94</v>
      </c>
      <c r="L95">
        <v>350</v>
      </c>
      <c r="M95">
        <v>52</v>
      </c>
      <c r="N95">
        <v>18200</v>
      </c>
    </row>
    <row r="96" spans="1:14" x14ac:dyDescent="0.25">
      <c r="A96">
        <v>98</v>
      </c>
      <c r="B96" s="2">
        <v>45485</v>
      </c>
      <c r="C96">
        <v>1216202808</v>
      </c>
      <c r="D96" t="s">
        <v>21</v>
      </c>
      <c r="E96" t="s">
        <v>36</v>
      </c>
      <c r="F96" t="s">
        <v>46</v>
      </c>
      <c r="G96" t="s">
        <v>56</v>
      </c>
      <c r="H96" t="s">
        <v>59</v>
      </c>
      <c r="I96" t="s">
        <v>63</v>
      </c>
      <c r="J96" t="s">
        <v>76</v>
      </c>
      <c r="K96" t="s">
        <v>95</v>
      </c>
      <c r="L96">
        <v>308</v>
      </c>
      <c r="M96">
        <v>30</v>
      </c>
      <c r="N96">
        <v>9240</v>
      </c>
    </row>
    <row r="97" spans="1:14" x14ac:dyDescent="0.25">
      <c r="A97">
        <v>99</v>
      </c>
      <c r="B97" s="2">
        <v>45395</v>
      </c>
      <c r="C97">
        <v>7167041532</v>
      </c>
      <c r="D97" t="s">
        <v>21</v>
      </c>
      <c r="E97" t="s">
        <v>36</v>
      </c>
      <c r="F97" t="s">
        <v>46</v>
      </c>
      <c r="G97" t="s">
        <v>56</v>
      </c>
      <c r="H97" t="s">
        <v>59</v>
      </c>
      <c r="I97" t="s">
        <v>61</v>
      </c>
      <c r="J97" t="s">
        <v>70</v>
      </c>
      <c r="K97" t="s">
        <v>90</v>
      </c>
      <c r="L97">
        <v>128.80000000000001</v>
      </c>
      <c r="M97">
        <v>41</v>
      </c>
      <c r="N97">
        <v>5280.7999999999993</v>
      </c>
    </row>
    <row r="98" spans="1:14" x14ac:dyDescent="0.25">
      <c r="A98">
        <v>100</v>
      </c>
      <c r="B98" s="2">
        <v>45557</v>
      </c>
      <c r="C98">
        <v>2241191338</v>
      </c>
      <c r="D98" t="s">
        <v>22</v>
      </c>
      <c r="E98" t="s">
        <v>38</v>
      </c>
      <c r="F98" t="s">
        <v>38</v>
      </c>
      <c r="G98" t="s">
        <v>55</v>
      </c>
      <c r="H98" t="s">
        <v>60</v>
      </c>
      <c r="I98" t="s">
        <v>61</v>
      </c>
      <c r="J98" t="s">
        <v>65</v>
      </c>
      <c r="K98" t="s">
        <v>89</v>
      </c>
      <c r="L98">
        <v>49</v>
      </c>
      <c r="M98">
        <v>44</v>
      </c>
      <c r="N98">
        <v>2156</v>
      </c>
    </row>
    <row r="99" spans="1:14" x14ac:dyDescent="0.25">
      <c r="A99">
        <v>101</v>
      </c>
      <c r="B99" s="2">
        <v>45567</v>
      </c>
      <c r="C99">
        <v>806264266</v>
      </c>
      <c r="D99" t="s">
        <v>22</v>
      </c>
      <c r="E99" t="s">
        <v>38</v>
      </c>
      <c r="F99" t="s">
        <v>38</v>
      </c>
      <c r="G99" t="s">
        <v>55</v>
      </c>
      <c r="H99" t="s">
        <v>60</v>
      </c>
      <c r="I99" t="s">
        <v>61</v>
      </c>
      <c r="J99" t="s">
        <v>74</v>
      </c>
      <c r="K99" t="s">
        <v>88</v>
      </c>
      <c r="L99">
        <v>41.86</v>
      </c>
      <c r="M99">
        <v>77</v>
      </c>
      <c r="N99">
        <v>3223.22</v>
      </c>
    </row>
    <row r="100" spans="1:14" x14ac:dyDescent="0.25">
      <c r="A100">
        <v>102</v>
      </c>
      <c r="B100" s="2">
        <v>45363</v>
      </c>
      <c r="C100">
        <v>3820174684</v>
      </c>
      <c r="D100" t="s">
        <v>23</v>
      </c>
      <c r="E100" t="s">
        <v>39</v>
      </c>
      <c r="F100" t="s">
        <v>48</v>
      </c>
      <c r="G100" t="s">
        <v>52</v>
      </c>
      <c r="H100" t="s">
        <v>59</v>
      </c>
      <c r="I100" t="s">
        <v>62</v>
      </c>
      <c r="J100" t="s">
        <v>68</v>
      </c>
      <c r="K100" t="s">
        <v>88</v>
      </c>
      <c r="L100">
        <v>252</v>
      </c>
      <c r="M100">
        <v>29</v>
      </c>
      <c r="N100">
        <v>7308</v>
      </c>
    </row>
    <row r="101" spans="1:14" x14ac:dyDescent="0.25">
      <c r="A101">
        <v>103</v>
      </c>
      <c r="B101" s="2">
        <v>45535</v>
      </c>
      <c r="C101">
        <v>5541796483</v>
      </c>
      <c r="D101" t="s">
        <v>23</v>
      </c>
      <c r="E101" t="s">
        <v>39</v>
      </c>
      <c r="F101" t="s">
        <v>48</v>
      </c>
      <c r="G101" t="s">
        <v>52</v>
      </c>
      <c r="H101" t="s">
        <v>59</v>
      </c>
      <c r="I101" t="s">
        <v>62</v>
      </c>
      <c r="J101" t="s">
        <v>69</v>
      </c>
      <c r="K101" t="s">
        <v>88</v>
      </c>
      <c r="L101">
        <v>644</v>
      </c>
      <c r="M101">
        <v>77</v>
      </c>
      <c r="N101">
        <v>49588</v>
      </c>
    </row>
    <row r="102" spans="1:14" x14ac:dyDescent="0.25">
      <c r="A102">
        <v>104</v>
      </c>
      <c r="B102" s="2">
        <v>45486</v>
      </c>
      <c r="C102">
        <v>7096714976</v>
      </c>
      <c r="D102" t="s">
        <v>23</v>
      </c>
      <c r="E102" t="s">
        <v>39</v>
      </c>
      <c r="F102" t="s">
        <v>48</v>
      </c>
      <c r="G102" t="s">
        <v>52</v>
      </c>
      <c r="H102" t="s">
        <v>58</v>
      </c>
      <c r="I102" t="s">
        <v>62</v>
      </c>
      <c r="J102" t="s">
        <v>74</v>
      </c>
      <c r="K102" t="s">
        <v>88</v>
      </c>
      <c r="L102">
        <v>41.86</v>
      </c>
      <c r="M102">
        <v>73</v>
      </c>
      <c r="N102">
        <v>3055.78</v>
      </c>
    </row>
    <row r="103" spans="1:14" x14ac:dyDescent="0.25">
      <c r="A103">
        <v>105</v>
      </c>
      <c r="B103" s="2">
        <v>45621</v>
      </c>
      <c r="C103">
        <v>2543114862</v>
      </c>
      <c r="D103" t="s">
        <v>20</v>
      </c>
      <c r="E103" t="s">
        <v>35</v>
      </c>
      <c r="F103" t="s">
        <v>45</v>
      </c>
      <c r="G103" t="s">
        <v>55</v>
      </c>
      <c r="H103" t="s">
        <v>60</v>
      </c>
      <c r="I103" t="s">
        <v>62</v>
      </c>
      <c r="J103" t="s">
        <v>72</v>
      </c>
      <c r="K103" t="s">
        <v>92</v>
      </c>
      <c r="L103">
        <v>135.1</v>
      </c>
      <c r="M103">
        <v>74</v>
      </c>
      <c r="N103">
        <v>9997.4</v>
      </c>
    </row>
    <row r="104" spans="1:14" x14ac:dyDescent="0.25">
      <c r="A104">
        <v>106</v>
      </c>
      <c r="B104" s="2">
        <v>45531</v>
      </c>
      <c r="C104">
        <v>6501127347</v>
      </c>
      <c r="D104" t="s">
        <v>20</v>
      </c>
      <c r="E104" t="s">
        <v>35</v>
      </c>
      <c r="F104" t="s">
        <v>45</v>
      </c>
      <c r="G104" t="s">
        <v>55</v>
      </c>
      <c r="H104" t="s">
        <v>60</v>
      </c>
      <c r="I104" t="s">
        <v>62</v>
      </c>
      <c r="J104" t="s">
        <v>77</v>
      </c>
      <c r="K104" t="s">
        <v>96</v>
      </c>
      <c r="L104">
        <v>257.60000000000002</v>
      </c>
      <c r="M104">
        <v>25</v>
      </c>
      <c r="N104">
        <v>6439.9999999999991</v>
      </c>
    </row>
    <row r="105" spans="1:14" x14ac:dyDescent="0.25">
      <c r="A105">
        <v>107</v>
      </c>
      <c r="B105" s="2">
        <v>45408</v>
      </c>
      <c r="C105">
        <v>1322296163</v>
      </c>
      <c r="D105" t="s">
        <v>24</v>
      </c>
      <c r="E105" t="s">
        <v>32</v>
      </c>
      <c r="F105" t="s">
        <v>43</v>
      </c>
      <c r="G105" t="s">
        <v>57</v>
      </c>
      <c r="H105" t="s">
        <v>59</v>
      </c>
      <c r="I105" t="s">
        <v>61</v>
      </c>
      <c r="J105" t="s">
        <v>78</v>
      </c>
      <c r="K105" t="s">
        <v>97</v>
      </c>
      <c r="L105">
        <v>273</v>
      </c>
      <c r="M105">
        <v>82</v>
      </c>
      <c r="N105">
        <v>22386</v>
      </c>
    </row>
    <row r="106" spans="1:14" x14ac:dyDescent="0.25">
      <c r="A106">
        <v>108</v>
      </c>
      <c r="B106" s="2">
        <v>45583</v>
      </c>
      <c r="C106">
        <v>5162222472</v>
      </c>
      <c r="D106" t="s">
        <v>24</v>
      </c>
      <c r="E106" t="s">
        <v>32</v>
      </c>
      <c r="F106" t="s">
        <v>43</v>
      </c>
      <c r="G106" t="s">
        <v>57</v>
      </c>
      <c r="H106" t="s">
        <v>59</v>
      </c>
      <c r="I106" t="s">
        <v>61</v>
      </c>
      <c r="J106" t="s">
        <v>79</v>
      </c>
      <c r="K106" t="s">
        <v>98</v>
      </c>
      <c r="L106">
        <v>487.19999999999987</v>
      </c>
      <c r="M106">
        <v>37</v>
      </c>
      <c r="N106">
        <v>18026.400000000001</v>
      </c>
    </row>
    <row r="107" spans="1:14" x14ac:dyDescent="0.25">
      <c r="A107">
        <v>109</v>
      </c>
      <c r="B107" s="2">
        <v>45564</v>
      </c>
      <c r="C107">
        <v>5752777715</v>
      </c>
      <c r="D107" t="s">
        <v>19</v>
      </c>
      <c r="E107" t="s">
        <v>34</v>
      </c>
      <c r="F107" t="s">
        <v>44</v>
      </c>
      <c r="G107" t="s">
        <v>54</v>
      </c>
      <c r="H107" t="s">
        <v>58</v>
      </c>
      <c r="I107" t="s">
        <v>62</v>
      </c>
      <c r="J107" t="s">
        <v>64</v>
      </c>
      <c r="K107" t="s">
        <v>88</v>
      </c>
      <c r="L107">
        <v>196</v>
      </c>
      <c r="M107">
        <v>84</v>
      </c>
      <c r="N107">
        <v>16464</v>
      </c>
    </row>
    <row r="108" spans="1:14" x14ac:dyDescent="0.25">
      <c r="A108">
        <v>110</v>
      </c>
      <c r="B108" s="2">
        <v>45485</v>
      </c>
      <c r="C108">
        <v>2261700341</v>
      </c>
      <c r="D108" t="s">
        <v>17</v>
      </c>
      <c r="E108" t="s">
        <v>31</v>
      </c>
      <c r="F108" t="s">
        <v>42</v>
      </c>
      <c r="G108" t="s">
        <v>52</v>
      </c>
      <c r="H108" t="s">
        <v>58</v>
      </c>
      <c r="I108" t="s">
        <v>61</v>
      </c>
      <c r="J108" t="s">
        <v>73</v>
      </c>
      <c r="K108" t="s">
        <v>93</v>
      </c>
      <c r="L108">
        <v>560</v>
      </c>
      <c r="M108">
        <v>73</v>
      </c>
      <c r="N108">
        <v>40880</v>
      </c>
    </row>
    <row r="109" spans="1:14" x14ac:dyDescent="0.25">
      <c r="A109">
        <v>111</v>
      </c>
      <c r="B109" s="2">
        <v>45534</v>
      </c>
      <c r="C109">
        <v>9950546196</v>
      </c>
      <c r="D109" t="s">
        <v>17</v>
      </c>
      <c r="E109" t="s">
        <v>31</v>
      </c>
      <c r="F109" t="s">
        <v>42</v>
      </c>
      <c r="G109" t="s">
        <v>52</v>
      </c>
      <c r="H109" t="s">
        <v>58</v>
      </c>
      <c r="I109" t="s">
        <v>61</v>
      </c>
      <c r="J109" t="s">
        <v>70</v>
      </c>
      <c r="K109" t="s">
        <v>90</v>
      </c>
      <c r="L109">
        <v>128.80000000000001</v>
      </c>
      <c r="M109">
        <v>51</v>
      </c>
      <c r="N109">
        <v>6568.7999999999993</v>
      </c>
    </row>
    <row r="110" spans="1:14" x14ac:dyDescent="0.25">
      <c r="A110">
        <v>112</v>
      </c>
      <c r="B110" s="2">
        <v>45652</v>
      </c>
      <c r="C110">
        <v>9911266011</v>
      </c>
      <c r="D110" t="s">
        <v>26</v>
      </c>
      <c r="E110" t="s">
        <v>36</v>
      </c>
      <c r="F110" t="s">
        <v>46</v>
      </c>
      <c r="G110" t="s">
        <v>56</v>
      </c>
      <c r="H110" t="s">
        <v>59</v>
      </c>
      <c r="I110" t="s">
        <v>63</v>
      </c>
      <c r="J110" t="s">
        <v>83</v>
      </c>
      <c r="K110" t="s">
        <v>90</v>
      </c>
      <c r="L110">
        <v>140</v>
      </c>
      <c r="M110">
        <v>66</v>
      </c>
      <c r="N110">
        <v>9240</v>
      </c>
    </row>
    <row r="111" spans="1:14" x14ac:dyDescent="0.25">
      <c r="A111">
        <v>113</v>
      </c>
      <c r="B111" s="2">
        <v>45644</v>
      </c>
      <c r="C111">
        <v>8455987495</v>
      </c>
      <c r="D111" t="s">
        <v>27</v>
      </c>
      <c r="E111" t="s">
        <v>38</v>
      </c>
      <c r="F111" t="s">
        <v>38</v>
      </c>
      <c r="G111" t="s">
        <v>55</v>
      </c>
      <c r="H111" t="s">
        <v>60</v>
      </c>
      <c r="I111" t="s">
        <v>62</v>
      </c>
      <c r="J111" t="s">
        <v>84</v>
      </c>
      <c r="K111" t="s">
        <v>100</v>
      </c>
      <c r="L111">
        <v>298.89999999999998</v>
      </c>
      <c r="M111">
        <v>36</v>
      </c>
      <c r="N111">
        <v>10760.4</v>
      </c>
    </row>
    <row r="112" spans="1:14" x14ac:dyDescent="0.25">
      <c r="A112">
        <v>114</v>
      </c>
      <c r="B112" s="2">
        <v>45427</v>
      </c>
      <c r="C112">
        <v>6668567210</v>
      </c>
      <c r="D112" t="s">
        <v>27</v>
      </c>
      <c r="E112" t="s">
        <v>38</v>
      </c>
      <c r="F112" t="s">
        <v>38</v>
      </c>
      <c r="G112" t="s">
        <v>55</v>
      </c>
      <c r="H112" t="s">
        <v>60</v>
      </c>
      <c r="I112" t="s">
        <v>62</v>
      </c>
      <c r="J112" t="s">
        <v>72</v>
      </c>
      <c r="K112" t="s">
        <v>92</v>
      </c>
      <c r="L112">
        <v>135.1</v>
      </c>
      <c r="M112">
        <v>87</v>
      </c>
      <c r="N112">
        <v>11753.7</v>
      </c>
    </row>
    <row r="113" spans="1:14" x14ac:dyDescent="0.25">
      <c r="A113">
        <v>115</v>
      </c>
      <c r="B113" s="2">
        <v>45480</v>
      </c>
      <c r="C113">
        <v>9528620750</v>
      </c>
      <c r="D113" t="s">
        <v>27</v>
      </c>
      <c r="E113" t="s">
        <v>38</v>
      </c>
      <c r="F113" t="s">
        <v>38</v>
      </c>
      <c r="G113" t="s">
        <v>55</v>
      </c>
      <c r="H113" t="s">
        <v>60</v>
      </c>
      <c r="I113" t="s">
        <v>62</v>
      </c>
      <c r="J113" t="s">
        <v>77</v>
      </c>
      <c r="K113" t="s">
        <v>96</v>
      </c>
      <c r="L113">
        <v>257.60000000000002</v>
      </c>
      <c r="M113">
        <v>64</v>
      </c>
      <c r="N113">
        <v>16486.400000000001</v>
      </c>
    </row>
    <row r="114" spans="1:14" x14ac:dyDescent="0.25">
      <c r="A114">
        <v>116</v>
      </c>
      <c r="B114" s="2">
        <v>45337</v>
      </c>
      <c r="C114">
        <v>1951835035</v>
      </c>
      <c r="D114" t="s">
        <v>18</v>
      </c>
      <c r="E114" t="s">
        <v>32</v>
      </c>
      <c r="F114" t="s">
        <v>43</v>
      </c>
      <c r="G114" t="s">
        <v>53</v>
      </c>
      <c r="H114" t="s">
        <v>58</v>
      </c>
      <c r="I114" t="s">
        <v>61</v>
      </c>
      <c r="J114" t="s">
        <v>64</v>
      </c>
      <c r="K114" t="s">
        <v>88</v>
      </c>
      <c r="L114">
        <v>196</v>
      </c>
      <c r="M114">
        <v>21</v>
      </c>
      <c r="N114">
        <v>4116</v>
      </c>
    </row>
    <row r="115" spans="1:14" x14ac:dyDescent="0.25">
      <c r="A115">
        <v>117</v>
      </c>
      <c r="B115" s="2">
        <v>45562</v>
      </c>
      <c r="C115">
        <v>8464805926</v>
      </c>
      <c r="D115" t="s">
        <v>19</v>
      </c>
      <c r="E115" t="s">
        <v>34</v>
      </c>
      <c r="F115" t="s">
        <v>44</v>
      </c>
      <c r="G115" t="s">
        <v>54</v>
      </c>
      <c r="H115" t="s">
        <v>60</v>
      </c>
      <c r="I115" t="s">
        <v>61</v>
      </c>
      <c r="J115" t="s">
        <v>71</v>
      </c>
      <c r="K115" t="s">
        <v>91</v>
      </c>
      <c r="L115">
        <v>178.5</v>
      </c>
      <c r="M115">
        <v>19</v>
      </c>
      <c r="N115">
        <v>3391.5</v>
      </c>
    </row>
    <row r="116" spans="1:14" x14ac:dyDescent="0.25">
      <c r="A116">
        <v>118</v>
      </c>
      <c r="B116" s="2">
        <v>45555</v>
      </c>
      <c r="C116">
        <v>1040241832</v>
      </c>
      <c r="D116" t="s">
        <v>15</v>
      </c>
      <c r="E116" t="s">
        <v>30</v>
      </c>
      <c r="F116" t="s">
        <v>41</v>
      </c>
      <c r="G116" t="s">
        <v>51</v>
      </c>
      <c r="H116" t="s">
        <v>59</v>
      </c>
      <c r="I116" t="s">
        <v>62</v>
      </c>
      <c r="J116" t="s">
        <v>85</v>
      </c>
      <c r="K116" t="s">
        <v>94</v>
      </c>
      <c r="L116">
        <v>1134</v>
      </c>
      <c r="M116">
        <v>23</v>
      </c>
      <c r="N116">
        <v>26082</v>
      </c>
    </row>
    <row r="117" spans="1:14" x14ac:dyDescent="0.25">
      <c r="A117">
        <v>119</v>
      </c>
      <c r="B117" s="2">
        <v>45618</v>
      </c>
      <c r="C117">
        <v>5032769390</v>
      </c>
      <c r="D117" t="s">
        <v>15</v>
      </c>
      <c r="E117" t="s">
        <v>30</v>
      </c>
      <c r="F117" t="s">
        <v>41</v>
      </c>
      <c r="G117" t="s">
        <v>51</v>
      </c>
      <c r="H117" t="s">
        <v>59</v>
      </c>
      <c r="I117" t="s">
        <v>62</v>
      </c>
      <c r="J117" t="s">
        <v>86</v>
      </c>
      <c r="K117" t="s">
        <v>101</v>
      </c>
      <c r="L117">
        <v>98</v>
      </c>
      <c r="M117">
        <v>72</v>
      </c>
      <c r="N117">
        <v>7056</v>
      </c>
    </row>
    <row r="118" spans="1:14" x14ac:dyDescent="0.25">
      <c r="A118">
        <v>120</v>
      </c>
      <c r="B118" s="2">
        <v>45377</v>
      </c>
      <c r="C118">
        <v>5375997402</v>
      </c>
      <c r="D118" t="s">
        <v>17</v>
      </c>
      <c r="E118" t="s">
        <v>31</v>
      </c>
      <c r="F118" t="s">
        <v>42</v>
      </c>
      <c r="G118" t="s">
        <v>52</v>
      </c>
      <c r="H118" t="s">
        <v>60</v>
      </c>
      <c r="I118" t="s">
        <v>62</v>
      </c>
      <c r="J118" t="s">
        <v>79</v>
      </c>
      <c r="K118" t="s">
        <v>98</v>
      </c>
      <c r="L118">
        <v>487.19999999999987</v>
      </c>
      <c r="M118">
        <v>22</v>
      </c>
      <c r="N118">
        <v>10718.4</v>
      </c>
    </row>
    <row r="119" spans="1:14" x14ac:dyDescent="0.25">
      <c r="A119">
        <v>121</v>
      </c>
      <c r="B119" s="2">
        <v>45298</v>
      </c>
      <c r="C119">
        <v>967566383</v>
      </c>
      <c r="D119" t="s">
        <v>25</v>
      </c>
      <c r="E119" t="s">
        <v>33</v>
      </c>
      <c r="F119" t="s">
        <v>49</v>
      </c>
      <c r="G119" t="s">
        <v>50</v>
      </c>
      <c r="H119" t="s">
        <v>58</v>
      </c>
      <c r="I119" t="s">
        <v>63</v>
      </c>
      <c r="J119" t="s">
        <v>87</v>
      </c>
      <c r="K119" t="s">
        <v>95</v>
      </c>
      <c r="L119">
        <v>140</v>
      </c>
      <c r="M119">
        <v>82</v>
      </c>
      <c r="N119">
        <v>11480</v>
      </c>
    </row>
    <row r="120" spans="1:14" x14ac:dyDescent="0.25">
      <c r="A120">
        <v>122</v>
      </c>
      <c r="B120" s="2">
        <v>45503</v>
      </c>
      <c r="C120">
        <v>7607007457</v>
      </c>
      <c r="D120" t="s">
        <v>25</v>
      </c>
      <c r="E120" t="s">
        <v>33</v>
      </c>
      <c r="F120" t="s">
        <v>49</v>
      </c>
      <c r="G120" t="s">
        <v>50</v>
      </c>
      <c r="H120" t="s">
        <v>58</v>
      </c>
      <c r="I120" t="s">
        <v>63</v>
      </c>
      <c r="J120" t="s">
        <v>73</v>
      </c>
      <c r="K120" t="s">
        <v>93</v>
      </c>
      <c r="L120">
        <v>560</v>
      </c>
      <c r="M120">
        <v>98</v>
      </c>
      <c r="N120">
        <v>54880</v>
      </c>
    </row>
    <row r="121" spans="1:14" x14ac:dyDescent="0.25">
      <c r="A121">
        <v>123</v>
      </c>
      <c r="B121" s="2">
        <v>45553</v>
      </c>
      <c r="C121">
        <v>6139722497</v>
      </c>
      <c r="D121" t="s">
        <v>28</v>
      </c>
      <c r="E121" t="s">
        <v>37</v>
      </c>
      <c r="F121" t="s">
        <v>47</v>
      </c>
      <c r="G121" t="s">
        <v>52</v>
      </c>
      <c r="H121" t="s">
        <v>58</v>
      </c>
      <c r="I121" t="s">
        <v>63</v>
      </c>
      <c r="J121" t="s">
        <v>69</v>
      </c>
      <c r="K121" t="s">
        <v>88</v>
      </c>
      <c r="L121">
        <v>644</v>
      </c>
      <c r="M121">
        <v>71</v>
      </c>
      <c r="N121">
        <v>45724</v>
      </c>
    </row>
    <row r="122" spans="1:14" x14ac:dyDescent="0.25">
      <c r="A122">
        <v>124</v>
      </c>
      <c r="B122" s="2">
        <v>45385</v>
      </c>
      <c r="C122">
        <v>6071133871</v>
      </c>
      <c r="D122" t="s">
        <v>102</v>
      </c>
      <c r="E122" t="s">
        <v>36</v>
      </c>
      <c r="F122" t="s">
        <v>46</v>
      </c>
      <c r="G122" t="s">
        <v>56</v>
      </c>
      <c r="H122" t="s">
        <v>59</v>
      </c>
      <c r="I122" t="s">
        <v>62</v>
      </c>
      <c r="J122" t="s">
        <v>75</v>
      </c>
      <c r="K122" t="s">
        <v>94</v>
      </c>
      <c r="L122">
        <v>350</v>
      </c>
      <c r="M122">
        <v>40</v>
      </c>
      <c r="N122">
        <v>14000</v>
      </c>
    </row>
    <row r="123" spans="1:14" x14ac:dyDescent="0.25">
      <c r="A123">
        <v>125</v>
      </c>
      <c r="B123" s="2">
        <v>45348</v>
      </c>
      <c r="C123">
        <v>8634772142</v>
      </c>
      <c r="D123" t="s">
        <v>21</v>
      </c>
      <c r="E123" t="s">
        <v>36</v>
      </c>
      <c r="F123" t="s">
        <v>46</v>
      </c>
      <c r="G123" t="s">
        <v>56</v>
      </c>
      <c r="H123" t="s">
        <v>59</v>
      </c>
      <c r="I123" t="s">
        <v>62</v>
      </c>
      <c r="J123" t="s">
        <v>76</v>
      </c>
      <c r="K123" t="s">
        <v>95</v>
      </c>
      <c r="L123">
        <v>308</v>
      </c>
      <c r="M123">
        <v>80</v>
      </c>
      <c r="N123">
        <v>24640</v>
      </c>
    </row>
    <row r="124" spans="1:14" x14ac:dyDescent="0.25">
      <c r="A124">
        <v>126</v>
      </c>
      <c r="B124" s="2">
        <v>45541</v>
      </c>
      <c r="C124">
        <v>5431718510</v>
      </c>
      <c r="D124" t="s">
        <v>21</v>
      </c>
      <c r="E124" t="s">
        <v>36</v>
      </c>
      <c r="F124" t="s">
        <v>46</v>
      </c>
      <c r="G124" t="s">
        <v>56</v>
      </c>
      <c r="H124" t="s">
        <v>59</v>
      </c>
      <c r="I124" t="s">
        <v>61</v>
      </c>
      <c r="J124" t="s">
        <v>70</v>
      </c>
      <c r="K124" t="s">
        <v>90</v>
      </c>
      <c r="L124">
        <v>128.80000000000001</v>
      </c>
      <c r="M124">
        <v>38</v>
      </c>
      <c r="N124">
        <v>4894.3999999999996</v>
      </c>
    </row>
    <row r="125" spans="1:14" x14ac:dyDescent="0.25">
      <c r="A125">
        <v>127</v>
      </c>
      <c r="B125" s="2">
        <v>45554</v>
      </c>
      <c r="C125">
        <v>7109276915</v>
      </c>
      <c r="D125" t="s">
        <v>22</v>
      </c>
      <c r="E125" t="s">
        <v>38</v>
      </c>
      <c r="F125" t="s">
        <v>38</v>
      </c>
      <c r="G125" t="s">
        <v>55</v>
      </c>
      <c r="H125" t="s">
        <v>60</v>
      </c>
      <c r="I125" t="s">
        <v>61</v>
      </c>
      <c r="J125" t="s">
        <v>65</v>
      </c>
      <c r="K125" t="s">
        <v>89</v>
      </c>
      <c r="L125">
        <v>49</v>
      </c>
      <c r="M125">
        <v>28</v>
      </c>
      <c r="N125">
        <v>1372</v>
      </c>
    </row>
    <row r="126" spans="1:14" x14ac:dyDescent="0.25">
      <c r="A126">
        <v>128</v>
      </c>
      <c r="B126" s="2">
        <v>45580</v>
      </c>
      <c r="C126">
        <v>8479136081</v>
      </c>
      <c r="D126" t="s">
        <v>22</v>
      </c>
      <c r="E126" t="s">
        <v>38</v>
      </c>
      <c r="F126" t="s">
        <v>38</v>
      </c>
      <c r="G126" t="s">
        <v>55</v>
      </c>
      <c r="H126" t="s">
        <v>60</v>
      </c>
      <c r="I126" t="s">
        <v>61</v>
      </c>
      <c r="J126" t="s">
        <v>74</v>
      </c>
      <c r="K126" t="s">
        <v>88</v>
      </c>
      <c r="L126">
        <v>41.86</v>
      </c>
      <c r="M126">
        <v>60</v>
      </c>
      <c r="N126">
        <v>2511.6</v>
      </c>
    </row>
    <row r="127" spans="1:14" x14ac:dyDescent="0.25">
      <c r="A127">
        <v>129</v>
      </c>
      <c r="B127" s="2">
        <v>45607</v>
      </c>
      <c r="C127">
        <v>7132355278</v>
      </c>
      <c r="D127" t="s">
        <v>23</v>
      </c>
      <c r="E127" t="s">
        <v>39</v>
      </c>
      <c r="F127" t="s">
        <v>48</v>
      </c>
      <c r="G127" t="s">
        <v>52</v>
      </c>
      <c r="H127" t="s">
        <v>60</v>
      </c>
      <c r="I127" t="s">
        <v>63</v>
      </c>
      <c r="J127" t="s">
        <v>68</v>
      </c>
      <c r="K127" t="s">
        <v>88</v>
      </c>
      <c r="L127">
        <v>252</v>
      </c>
      <c r="M127">
        <v>33</v>
      </c>
      <c r="N127">
        <v>8316</v>
      </c>
    </row>
    <row r="128" spans="1:14" x14ac:dyDescent="0.25">
      <c r="A128">
        <v>130</v>
      </c>
      <c r="B128" s="2">
        <v>45478</v>
      </c>
      <c r="C128">
        <v>2885792785</v>
      </c>
      <c r="D128" t="s">
        <v>23</v>
      </c>
      <c r="E128" t="s">
        <v>39</v>
      </c>
      <c r="F128" t="s">
        <v>48</v>
      </c>
      <c r="G128" t="s">
        <v>52</v>
      </c>
      <c r="H128" t="s">
        <v>59</v>
      </c>
      <c r="I128" t="s">
        <v>62</v>
      </c>
      <c r="J128" t="s">
        <v>69</v>
      </c>
      <c r="K128" t="s">
        <v>88</v>
      </c>
      <c r="L128">
        <v>644</v>
      </c>
      <c r="M128">
        <v>22</v>
      </c>
      <c r="N128">
        <v>14168</v>
      </c>
    </row>
    <row r="129" spans="1:14" x14ac:dyDescent="0.25">
      <c r="A129">
        <v>131</v>
      </c>
      <c r="B129" s="2">
        <v>45546</v>
      </c>
      <c r="C129">
        <v>3723941023</v>
      </c>
      <c r="D129" t="s">
        <v>23</v>
      </c>
      <c r="E129" t="s">
        <v>39</v>
      </c>
      <c r="F129" t="s">
        <v>48</v>
      </c>
      <c r="G129" t="s">
        <v>52</v>
      </c>
      <c r="H129" t="s">
        <v>59</v>
      </c>
      <c r="I129" t="s">
        <v>63</v>
      </c>
      <c r="J129" t="s">
        <v>74</v>
      </c>
      <c r="K129" t="s">
        <v>88</v>
      </c>
      <c r="L129">
        <v>41.86</v>
      </c>
      <c r="M129">
        <v>51</v>
      </c>
      <c r="N129">
        <v>2134.86</v>
      </c>
    </row>
    <row r="130" spans="1:14" x14ac:dyDescent="0.25">
      <c r="A130">
        <v>132</v>
      </c>
      <c r="B130" s="2">
        <v>45404</v>
      </c>
      <c r="C130">
        <v>4827836337</v>
      </c>
      <c r="D130" t="s">
        <v>20</v>
      </c>
      <c r="E130" t="s">
        <v>35</v>
      </c>
      <c r="F130" t="s">
        <v>45</v>
      </c>
      <c r="G130" t="s">
        <v>55</v>
      </c>
      <c r="H130" t="s">
        <v>60</v>
      </c>
      <c r="I130" t="s">
        <v>62</v>
      </c>
      <c r="J130" t="s">
        <v>72</v>
      </c>
      <c r="K130" t="s">
        <v>92</v>
      </c>
      <c r="L130">
        <v>135.1</v>
      </c>
      <c r="M130">
        <v>60</v>
      </c>
      <c r="N130">
        <v>8106</v>
      </c>
    </row>
    <row r="131" spans="1:14" x14ac:dyDescent="0.25">
      <c r="A131">
        <v>133</v>
      </c>
      <c r="B131" s="2">
        <v>45518</v>
      </c>
      <c r="C131">
        <v>2633840866</v>
      </c>
      <c r="D131" t="s">
        <v>20</v>
      </c>
      <c r="E131" t="s">
        <v>35</v>
      </c>
      <c r="F131" t="s">
        <v>45</v>
      </c>
      <c r="G131" t="s">
        <v>55</v>
      </c>
      <c r="H131" t="s">
        <v>60</v>
      </c>
      <c r="I131" t="s">
        <v>62</v>
      </c>
      <c r="J131" t="s">
        <v>77</v>
      </c>
      <c r="K131" t="s">
        <v>96</v>
      </c>
      <c r="L131">
        <v>257.60000000000002</v>
      </c>
      <c r="M131">
        <v>98</v>
      </c>
      <c r="N131">
        <v>25244.799999999999</v>
      </c>
    </row>
    <row r="132" spans="1:14" x14ac:dyDescent="0.25">
      <c r="A132">
        <v>134</v>
      </c>
      <c r="B132" s="2">
        <v>45390</v>
      </c>
      <c r="C132">
        <v>2489359003</v>
      </c>
      <c r="D132" t="s">
        <v>24</v>
      </c>
      <c r="E132" t="s">
        <v>32</v>
      </c>
      <c r="F132" t="s">
        <v>43</v>
      </c>
      <c r="G132" t="s">
        <v>57</v>
      </c>
      <c r="H132" t="s">
        <v>59</v>
      </c>
      <c r="I132" t="s">
        <v>61</v>
      </c>
      <c r="J132" t="s">
        <v>78</v>
      </c>
      <c r="K132" t="s">
        <v>97</v>
      </c>
      <c r="L132">
        <v>273</v>
      </c>
      <c r="M132">
        <v>27</v>
      </c>
      <c r="N132">
        <v>7371</v>
      </c>
    </row>
    <row r="133" spans="1:14" x14ac:dyDescent="0.25">
      <c r="A133">
        <v>135</v>
      </c>
      <c r="B133" s="2">
        <v>45447</v>
      </c>
      <c r="C133">
        <v>2347277376</v>
      </c>
      <c r="D133" t="s">
        <v>24</v>
      </c>
      <c r="E133" t="s">
        <v>32</v>
      </c>
      <c r="F133" t="s">
        <v>43</v>
      </c>
      <c r="G133" t="s">
        <v>57</v>
      </c>
      <c r="H133" t="s">
        <v>59</v>
      </c>
      <c r="I133" t="s">
        <v>61</v>
      </c>
      <c r="J133" t="s">
        <v>79</v>
      </c>
      <c r="K133" t="s">
        <v>98</v>
      </c>
      <c r="L133">
        <v>487.19999999999987</v>
      </c>
      <c r="M133">
        <v>88</v>
      </c>
      <c r="N133">
        <v>42873.599999999991</v>
      </c>
    </row>
    <row r="134" spans="1:14" x14ac:dyDescent="0.25">
      <c r="A134">
        <v>136</v>
      </c>
      <c r="B134" s="2">
        <v>45519</v>
      </c>
      <c r="C134">
        <v>2071690973</v>
      </c>
      <c r="D134" t="s">
        <v>19</v>
      </c>
      <c r="E134" t="s">
        <v>34</v>
      </c>
      <c r="F134" t="s">
        <v>44</v>
      </c>
      <c r="G134" t="s">
        <v>54</v>
      </c>
      <c r="H134" t="s">
        <v>58</v>
      </c>
      <c r="I134" t="s">
        <v>62</v>
      </c>
      <c r="J134" t="s">
        <v>64</v>
      </c>
      <c r="K134" t="s">
        <v>88</v>
      </c>
      <c r="L134">
        <v>196</v>
      </c>
      <c r="M134">
        <v>65</v>
      </c>
      <c r="N134">
        <v>12740</v>
      </c>
    </row>
    <row r="135" spans="1:14" x14ac:dyDescent="0.25">
      <c r="A135">
        <v>137</v>
      </c>
      <c r="B135" s="2">
        <v>45508</v>
      </c>
      <c r="C135">
        <v>1196729221</v>
      </c>
      <c r="D135" t="s">
        <v>17</v>
      </c>
      <c r="E135" t="s">
        <v>31</v>
      </c>
      <c r="F135" t="s">
        <v>42</v>
      </c>
      <c r="G135" t="s">
        <v>52</v>
      </c>
      <c r="H135" t="s">
        <v>58</v>
      </c>
      <c r="I135" t="s">
        <v>61</v>
      </c>
      <c r="J135" t="s">
        <v>73</v>
      </c>
      <c r="K135" t="s">
        <v>93</v>
      </c>
      <c r="L135">
        <v>560</v>
      </c>
      <c r="M135">
        <v>38</v>
      </c>
      <c r="N135">
        <v>21280</v>
      </c>
    </row>
    <row r="136" spans="1:14" x14ac:dyDescent="0.25">
      <c r="A136">
        <v>138</v>
      </c>
      <c r="B136" s="2">
        <v>45409</v>
      </c>
      <c r="C136">
        <v>9020365601</v>
      </c>
      <c r="D136" t="s">
        <v>17</v>
      </c>
      <c r="E136" t="s">
        <v>31</v>
      </c>
      <c r="F136" t="s">
        <v>42</v>
      </c>
      <c r="G136" t="s">
        <v>52</v>
      </c>
      <c r="H136" t="s">
        <v>58</v>
      </c>
      <c r="I136" t="s">
        <v>61</v>
      </c>
      <c r="J136" t="s">
        <v>70</v>
      </c>
      <c r="K136" t="s">
        <v>90</v>
      </c>
      <c r="L136">
        <v>128.80000000000001</v>
      </c>
      <c r="M136">
        <v>80</v>
      </c>
      <c r="N136">
        <v>10304</v>
      </c>
    </row>
    <row r="137" spans="1:14" x14ac:dyDescent="0.25">
      <c r="A137">
        <v>139</v>
      </c>
      <c r="B137" s="2">
        <v>45515</v>
      </c>
      <c r="C137">
        <v>4818692078</v>
      </c>
      <c r="D137" t="s">
        <v>26</v>
      </c>
      <c r="E137" t="s">
        <v>36</v>
      </c>
      <c r="F137" t="s">
        <v>46</v>
      </c>
      <c r="G137" t="s">
        <v>56</v>
      </c>
      <c r="H137" t="s">
        <v>59</v>
      </c>
      <c r="I137" t="s">
        <v>63</v>
      </c>
      <c r="J137" t="s">
        <v>83</v>
      </c>
      <c r="K137" t="s">
        <v>90</v>
      </c>
      <c r="L137">
        <v>140</v>
      </c>
      <c r="M137">
        <v>49</v>
      </c>
      <c r="N137">
        <v>6860</v>
      </c>
    </row>
    <row r="138" spans="1:14" x14ac:dyDescent="0.25">
      <c r="A138">
        <v>140</v>
      </c>
      <c r="B138" s="2">
        <v>45581</v>
      </c>
      <c r="C138">
        <v>6502762369</v>
      </c>
      <c r="D138" t="s">
        <v>27</v>
      </c>
      <c r="E138" t="s">
        <v>38</v>
      </c>
      <c r="F138" t="s">
        <v>38</v>
      </c>
      <c r="G138" t="s">
        <v>55</v>
      </c>
      <c r="H138" t="s">
        <v>60</v>
      </c>
      <c r="I138" t="s">
        <v>62</v>
      </c>
      <c r="J138" t="s">
        <v>84</v>
      </c>
      <c r="K138" t="s">
        <v>100</v>
      </c>
      <c r="L138">
        <v>298.89999999999998</v>
      </c>
      <c r="M138">
        <v>90</v>
      </c>
      <c r="N138">
        <v>26901</v>
      </c>
    </row>
    <row r="139" spans="1:14" x14ac:dyDescent="0.25">
      <c r="A139">
        <v>141</v>
      </c>
      <c r="B139" s="2">
        <v>45307</v>
      </c>
      <c r="C139">
        <v>924402492</v>
      </c>
      <c r="D139" t="s">
        <v>27</v>
      </c>
      <c r="E139" t="s">
        <v>38</v>
      </c>
      <c r="F139" t="s">
        <v>38</v>
      </c>
      <c r="G139" t="s">
        <v>55</v>
      </c>
      <c r="H139" t="s">
        <v>60</v>
      </c>
      <c r="I139" t="s">
        <v>62</v>
      </c>
      <c r="J139" t="s">
        <v>72</v>
      </c>
      <c r="K139" t="s">
        <v>92</v>
      </c>
      <c r="L139">
        <v>135.1</v>
      </c>
      <c r="M139">
        <v>60</v>
      </c>
      <c r="N139">
        <v>8106</v>
      </c>
    </row>
    <row r="140" spans="1:14" x14ac:dyDescent="0.25">
      <c r="A140">
        <v>142</v>
      </c>
      <c r="B140" s="2">
        <v>45462</v>
      </c>
      <c r="C140">
        <v>5633857209</v>
      </c>
      <c r="D140" t="s">
        <v>27</v>
      </c>
      <c r="E140" t="s">
        <v>38</v>
      </c>
      <c r="F140" t="s">
        <v>38</v>
      </c>
      <c r="G140" t="s">
        <v>55</v>
      </c>
      <c r="H140" t="s">
        <v>60</v>
      </c>
      <c r="I140" t="s">
        <v>62</v>
      </c>
      <c r="J140" t="s">
        <v>77</v>
      </c>
      <c r="K140" t="s">
        <v>96</v>
      </c>
      <c r="L140">
        <v>257.60000000000002</v>
      </c>
      <c r="M140">
        <v>39</v>
      </c>
      <c r="N140">
        <v>10046.4</v>
      </c>
    </row>
    <row r="141" spans="1:14" x14ac:dyDescent="0.25">
      <c r="A141">
        <v>143</v>
      </c>
      <c r="B141" s="2">
        <v>45388</v>
      </c>
      <c r="C141">
        <v>9715216432</v>
      </c>
      <c r="D141" t="s">
        <v>18</v>
      </c>
      <c r="E141" t="s">
        <v>32</v>
      </c>
      <c r="F141" t="s">
        <v>43</v>
      </c>
      <c r="G141" t="s">
        <v>53</v>
      </c>
      <c r="H141" t="s">
        <v>58</v>
      </c>
      <c r="I141" t="s">
        <v>61</v>
      </c>
      <c r="J141" t="s">
        <v>64</v>
      </c>
      <c r="K141" t="s">
        <v>88</v>
      </c>
      <c r="L141">
        <v>196</v>
      </c>
      <c r="M141">
        <v>79</v>
      </c>
      <c r="N141">
        <v>15484</v>
      </c>
    </row>
    <row r="142" spans="1:14" x14ac:dyDescent="0.25">
      <c r="A142">
        <v>144</v>
      </c>
      <c r="B142" s="2">
        <v>45561</v>
      </c>
      <c r="C142">
        <v>2808433382</v>
      </c>
      <c r="D142" t="s">
        <v>19</v>
      </c>
      <c r="E142" t="s">
        <v>34</v>
      </c>
      <c r="F142" t="s">
        <v>44</v>
      </c>
      <c r="G142" t="s">
        <v>54</v>
      </c>
      <c r="H142" t="s">
        <v>60</v>
      </c>
      <c r="I142" t="s">
        <v>61</v>
      </c>
      <c r="J142" t="s">
        <v>71</v>
      </c>
      <c r="K142" t="s">
        <v>91</v>
      </c>
      <c r="L142">
        <v>178.5</v>
      </c>
      <c r="M142">
        <v>44</v>
      </c>
      <c r="N142">
        <v>7854</v>
      </c>
    </row>
    <row r="143" spans="1:14" x14ac:dyDescent="0.25">
      <c r="A143">
        <v>145</v>
      </c>
      <c r="B143" s="2">
        <v>45507</v>
      </c>
      <c r="C143">
        <v>5585231955</v>
      </c>
      <c r="D143" t="s">
        <v>15</v>
      </c>
      <c r="E143" t="s">
        <v>30</v>
      </c>
      <c r="F143" t="s">
        <v>41</v>
      </c>
      <c r="G143" t="s">
        <v>51</v>
      </c>
      <c r="H143" t="s">
        <v>59</v>
      </c>
      <c r="I143" t="s">
        <v>62</v>
      </c>
      <c r="J143" t="s">
        <v>85</v>
      </c>
      <c r="K143" t="s">
        <v>94</v>
      </c>
      <c r="L143">
        <v>1134</v>
      </c>
      <c r="M143">
        <v>98</v>
      </c>
      <c r="N143">
        <v>111132</v>
      </c>
    </row>
    <row r="144" spans="1:14" x14ac:dyDescent="0.25">
      <c r="A144">
        <v>146</v>
      </c>
      <c r="B144" s="2">
        <v>45630</v>
      </c>
      <c r="C144">
        <v>4338999814</v>
      </c>
      <c r="D144" t="s">
        <v>15</v>
      </c>
      <c r="E144" t="s">
        <v>30</v>
      </c>
      <c r="F144" t="s">
        <v>41</v>
      </c>
      <c r="G144" t="s">
        <v>51</v>
      </c>
      <c r="H144" t="s">
        <v>59</v>
      </c>
      <c r="I144" t="s">
        <v>62</v>
      </c>
      <c r="J144" t="s">
        <v>86</v>
      </c>
      <c r="K144" t="s">
        <v>101</v>
      </c>
      <c r="L144">
        <v>98</v>
      </c>
      <c r="M144">
        <v>61</v>
      </c>
      <c r="N144">
        <v>5978</v>
      </c>
    </row>
    <row r="145" spans="1:14" x14ac:dyDescent="0.25">
      <c r="A145">
        <v>147</v>
      </c>
      <c r="B145" s="2">
        <v>45517</v>
      </c>
      <c r="C145">
        <v>3475726472</v>
      </c>
      <c r="D145" t="s">
        <v>17</v>
      </c>
      <c r="E145" t="s">
        <v>31</v>
      </c>
      <c r="F145" t="s">
        <v>42</v>
      </c>
      <c r="G145" t="s">
        <v>52</v>
      </c>
      <c r="H145" t="s">
        <v>60</v>
      </c>
      <c r="I145" t="s">
        <v>62</v>
      </c>
      <c r="J145" t="s">
        <v>79</v>
      </c>
      <c r="K145" t="s">
        <v>98</v>
      </c>
      <c r="L145">
        <v>487.19999999999987</v>
      </c>
      <c r="M145">
        <v>30</v>
      </c>
      <c r="N145">
        <v>14616</v>
      </c>
    </row>
    <row r="146" spans="1:14" x14ac:dyDescent="0.25">
      <c r="A146">
        <v>148</v>
      </c>
      <c r="B146" s="2">
        <v>45407</v>
      </c>
      <c r="C146">
        <v>9727843310</v>
      </c>
      <c r="D146" t="s">
        <v>25</v>
      </c>
      <c r="E146" t="s">
        <v>33</v>
      </c>
      <c r="F146" t="s">
        <v>49</v>
      </c>
      <c r="G146" t="s">
        <v>50</v>
      </c>
      <c r="H146" t="s">
        <v>58</v>
      </c>
      <c r="I146" t="s">
        <v>63</v>
      </c>
      <c r="J146" t="s">
        <v>87</v>
      </c>
      <c r="K146" t="s">
        <v>95</v>
      </c>
      <c r="L146">
        <v>140</v>
      </c>
      <c r="M146">
        <v>24</v>
      </c>
      <c r="N146">
        <v>3360</v>
      </c>
    </row>
    <row r="147" spans="1:14" x14ac:dyDescent="0.25">
      <c r="A147">
        <v>149</v>
      </c>
      <c r="B147" s="2">
        <v>45412</v>
      </c>
      <c r="C147">
        <v>536031236</v>
      </c>
      <c r="D147" t="s">
        <v>25</v>
      </c>
      <c r="E147" t="s">
        <v>33</v>
      </c>
      <c r="F147" t="s">
        <v>49</v>
      </c>
      <c r="G147" t="s">
        <v>50</v>
      </c>
      <c r="H147" t="s">
        <v>58</v>
      </c>
      <c r="I147" t="s">
        <v>63</v>
      </c>
      <c r="J147" t="s">
        <v>73</v>
      </c>
      <c r="K147" t="s">
        <v>93</v>
      </c>
      <c r="L147">
        <v>560</v>
      </c>
      <c r="M147">
        <v>28</v>
      </c>
      <c r="N147">
        <v>15680</v>
      </c>
    </row>
    <row r="148" spans="1:14" x14ac:dyDescent="0.25">
      <c r="A148">
        <v>150</v>
      </c>
      <c r="B148" s="2">
        <v>45500</v>
      </c>
      <c r="C148">
        <v>1875435757</v>
      </c>
      <c r="D148" t="s">
        <v>21</v>
      </c>
      <c r="E148" t="s">
        <v>36</v>
      </c>
      <c r="F148" t="s">
        <v>46</v>
      </c>
      <c r="G148" t="s">
        <v>56</v>
      </c>
      <c r="H148" t="s">
        <v>58</v>
      </c>
      <c r="I148" t="s">
        <v>62</v>
      </c>
      <c r="J148" t="s">
        <v>80</v>
      </c>
      <c r="K148" t="s">
        <v>89</v>
      </c>
      <c r="L148">
        <v>140</v>
      </c>
      <c r="M148">
        <v>74</v>
      </c>
      <c r="N148">
        <v>10360</v>
      </c>
    </row>
    <row r="149" spans="1:14" x14ac:dyDescent="0.25">
      <c r="A149">
        <v>151</v>
      </c>
      <c r="B149" s="2">
        <v>45602</v>
      </c>
      <c r="C149">
        <v>8711973073</v>
      </c>
      <c r="D149" t="s">
        <v>21</v>
      </c>
      <c r="E149" t="s">
        <v>36</v>
      </c>
      <c r="F149" t="s">
        <v>46</v>
      </c>
      <c r="G149" t="s">
        <v>56</v>
      </c>
      <c r="H149" t="s">
        <v>59</v>
      </c>
      <c r="I149" t="s">
        <v>62</v>
      </c>
      <c r="J149" t="s">
        <v>65</v>
      </c>
      <c r="K149" t="s">
        <v>89</v>
      </c>
      <c r="L149">
        <v>49</v>
      </c>
      <c r="M149">
        <v>90</v>
      </c>
      <c r="N149">
        <v>4410</v>
      </c>
    </row>
    <row r="150" spans="1:14" x14ac:dyDescent="0.25">
      <c r="A150">
        <v>152</v>
      </c>
      <c r="B150" s="2">
        <v>45630</v>
      </c>
      <c r="C150">
        <v>1214228285</v>
      </c>
      <c r="D150" t="s">
        <v>22</v>
      </c>
      <c r="E150" t="s">
        <v>38</v>
      </c>
      <c r="F150" t="s">
        <v>38</v>
      </c>
      <c r="G150" t="s">
        <v>55</v>
      </c>
      <c r="H150" t="s">
        <v>60</v>
      </c>
      <c r="I150" t="s">
        <v>62</v>
      </c>
      <c r="J150" t="s">
        <v>73</v>
      </c>
      <c r="K150" t="s">
        <v>93</v>
      </c>
      <c r="L150">
        <v>560</v>
      </c>
      <c r="M150">
        <v>27</v>
      </c>
      <c r="N150">
        <v>15120</v>
      </c>
    </row>
    <row r="151" spans="1:14" x14ac:dyDescent="0.25">
      <c r="A151">
        <v>153</v>
      </c>
      <c r="B151" s="2">
        <v>45544</v>
      </c>
      <c r="C151">
        <v>3447948983</v>
      </c>
      <c r="D151" t="s">
        <v>23</v>
      </c>
      <c r="E151" t="s">
        <v>39</v>
      </c>
      <c r="F151" t="s">
        <v>48</v>
      </c>
      <c r="G151" t="s">
        <v>52</v>
      </c>
      <c r="H151" t="s">
        <v>60</v>
      </c>
      <c r="I151" t="s">
        <v>61</v>
      </c>
      <c r="J151" t="s">
        <v>77</v>
      </c>
      <c r="K151" t="s">
        <v>96</v>
      </c>
      <c r="L151">
        <v>257.60000000000002</v>
      </c>
      <c r="M151">
        <v>71</v>
      </c>
      <c r="N151">
        <v>18289.599999999999</v>
      </c>
    </row>
    <row r="152" spans="1:14" x14ac:dyDescent="0.25">
      <c r="A152">
        <v>154</v>
      </c>
      <c r="B152" s="2">
        <v>45424</v>
      </c>
      <c r="C152">
        <v>8753770178</v>
      </c>
      <c r="D152" t="s">
        <v>20</v>
      </c>
      <c r="E152" t="s">
        <v>35</v>
      </c>
      <c r="F152" t="s">
        <v>45</v>
      </c>
      <c r="G152" t="s">
        <v>55</v>
      </c>
      <c r="H152" t="s">
        <v>60</v>
      </c>
      <c r="I152" t="s">
        <v>62</v>
      </c>
      <c r="J152" t="s">
        <v>69</v>
      </c>
      <c r="K152" t="s">
        <v>88</v>
      </c>
      <c r="L152">
        <v>644</v>
      </c>
      <c r="M152">
        <v>74</v>
      </c>
      <c r="N152">
        <v>47656</v>
      </c>
    </row>
    <row r="153" spans="1:14" x14ac:dyDescent="0.25">
      <c r="A153">
        <v>155</v>
      </c>
      <c r="B153" s="2">
        <v>45316</v>
      </c>
      <c r="C153">
        <v>493013693</v>
      </c>
      <c r="D153" t="s">
        <v>24</v>
      </c>
      <c r="E153" t="s">
        <v>32</v>
      </c>
      <c r="F153" t="s">
        <v>43</v>
      </c>
      <c r="G153" t="s">
        <v>57</v>
      </c>
      <c r="H153" t="s">
        <v>59</v>
      </c>
      <c r="I153" t="s">
        <v>61</v>
      </c>
      <c r="J153" t="s">
        <v>72</v>
      </c>
      <c r="K153" t="s">
        <v>92</v>
      </c>
      <c r="L153">
        <v>135.1</v>
      </c>
      <c r="M153">
        <v>76</v>
      </c>
      <c r="N153">
        <v>10267.6</v>
      </c>
    </row>
    <row r="154" spans="1:14" x14ac:dyDescent="0.25">
      <c r="A154">
        <v>156</v>
      </c>
      <c r="B154" s="2">
        <v>45593</v>
      </c>
      <c r="C154">
        <v>4097578178</v>
      </c>
      <c r="D154" t="s">
        <v>19</v>
      </c>
      <c r="E154" t="s">
        <v>34</v>
      </c>
      <c r="F154" t="s">
        <v>44</v>
      </c>
      <c r="G154" t="s">
        <v>54</v>
      </c>
      <c r="H154" t="s">
        <v>58</v>
      </c>
      <c r="I154" t="s">
        <v>62</v>
      </c>
      <c r="J154" t="s">
        <v>71</v>
      </c>
      <c r="K154" t="s">
        <v>91</v>
      </c>
      <c r="L154">
        <v>178.5</v>
      </c>
      <c r="M154">
        <v>96</v>
      </c>
      <c r="N154">
        <v>17136</v>
      </c>
    </row>
    <row r="155" spans="1:14" x14ac:dyDescent="0.25">
      <c r="A155">
        <v>157</v>
      </c>
      <c r="B155" s="2">
        <v>45479</v>
      </c>
      <c r="C155">
        <v>9949307477</v>
      </c>
      <c r="D155" t="s">
        <v>17</v>
      </c>
      <c r="E155" t="s">
        <v>31</v>
      </c>
      <c r="F155" t="s">
        <v>42</v>
      </c>
      <c r="G155" t="s">
        <v>52</v>
      </c>
      <c r="H155" t="s">
        <v>58</v>
      </c>
      <c r="I155" t="s">
        <v>61</v>
      </c>
      <c r="J155" t="s">
        <v>71</v>
      </c>
      <c r="K155" t="s">
        <v>91</v>
      </c>
      <c r="L155">
        <v>178.5</v>
      </c>
      <c r="M155">
        <v>92</v>
      </c>
      <c r="N155">
        <v>16422</v>
      </c>
    </row>
    <row r="156" spans="1:14" x14ac:dyDescent="0.25">
      <c r="A156">
        <v>158</v>
      </c>
      <c r="B156" s="2">
        <v>45433</v>
      </c>
      <c r="C156">
        <v>2521830520</v>
      </c>
      <c r="D156" t="s">
        <v>26</v>
      </c>
      <c r="E156" t="s">
        <v>36</v>
      </c>
      <c r="F156" t="s">
        <v>46</v>
      </c>
      <c r="G156" t="s">
        <v>56</v>
      </c>
      <c r="H156" t="s">
        <v>59</v>
      </c>
      <c r="I156" t="s">
        <v>63</v>
      </c>
      <c r="J156" t="s">
        <v>76</v>
      </c>
      <c r="K156" t="s">
        <v>95</v>
      </c>
      <c r="L156">
        <v>308</v>
      </c>
      <c r="M156">
        <v>93</v>
      </c>
      <c r="N156">
        <v>28644</v>
      </c>
    </row>
    <row r="157" spans="1:14" x14ac:dyDescent="0.25">
      <c r="A157">
        <v>159</v>
      </c>
      <c r="B157" s="2">
        <v>45443</v>
      </c>
      <c r="C157">
        <v>4224616034</v>
      </c>
      <c r="D157" t="s">
        <v>27</v>
      </c>
      <c r="E157" t="s">
        <v>38</v>
      </c>
      <c r="F157" t="s">
        <v>38</v>
      </c>
      <c r="G157" t="s">
        <v>55</v>
      </c>
      <c r="H157" t="s">
        <v>60</v>
      </c>
      <c r="I157" t="s">
        <v>62</v>
      </c>
      <c r="J157" t="s">
        <v>75</v>
      </c>
      <c r="K157" t="s">
        <v>94</v>
      </c>
      <c r="L157">
        <v>350</v>
      </c>
      <c r="M157">
        <v>18</v>
      </c>
      <c r="N157">
        <v>6300</v>
      </c>
    </row>
    <row r="158" spans="1:14" x14ac:dyDescent="0.25">
      <c r="A158">
        <v>160</v>
      </c>
      <c r="B158" s="2">
        <v>45510</v>
      </c>
      <c r="C158">
        <v>7169314881</v>
      </c>
      <c r="D158" t="s">
        <v>18</v>
      </c>
      <c r="E158" t="s">
        <v>32</v>
      </c>
      <c r="F158" t="s">
        <v>43</v>
      </c>
      <c r="G158" t="s">
        <v>53</v>
      </c>
      <c r="H158" t="s">
        <v>58</v>
      </c>
      <c r="I158" t="s">
        <v>61</v>
      </c>
      <c r="J158" t="s">
        <v>81</v>
      </c>
      <c r="K158" t="s">
        <v>99</v>
      </c>
      <c r="L158">
        <v>546</v>
      </c>
      <c r="M158">
        <v>98</v>
      </c>
      <c r="N158">
        <v>53508</v>
      </c>
    </row>
    <row r="159" spans="1:14" x14ac:dyDescent="0.25">
      <c r="A159">
        <v>161</v>
      </c>
      <c r="B159" s="2">
        <v>45479</v>
      </c>
      <c r="C159">
        <v>8313545064</v>
      </c>
      <c r="D159" t="s">
        <v>19</v>
      </c>
      <c r="E159" t="s">
        <v>34</v>
      </c>
      <c r="F159" t="s">
        <v>44</v>
      </c>
      <c r="G159" t="s">
        <v>54</v>
      </c>
      <c r="H159" t="s">
        <v>60</v>
      </c>
      <c r="I159" t="s">
        <v>61</v>
      </c>
      <c r="J159" t="s">
        <v>66</v>
      </c>
      <c r="K159" t="s">
        <v>89</v>
      </c>
      <c r="L159">
        <v>420</v>
      </c>
      <c r="M159">
        <v>46</v>
      </c>
      <c r="N159">
        <v>19438</v>
      </c>
    </row>
    <row r="160" spans="1:14" x14ac:dyDescent="0.25">
      <c r="A160">
        <v>162</v>
      </c>
      <c r="B160" s="2">
        <v>45525</v>
      </c>
      <c r="C160">
        <v>5739621013</v>
      </c>
      <c r="D160" t="s">
        <v>19</v>
      </c>
      <c r="E160" t="s">
        <v>34</v>
      </c>
      <c r="F160" t="s">
        <v>44</v>
      </c>
      <c r="G160" t="s">
        <v>54</v>
      </c>
      <c r="H160" t="s">
        <v>60</v>
      </c>
      <c r="I160" t="s">
        <v>61</v>
      </c>
      <c r="J160" t="s">
        <v>67</v>
      </c>
      <c r="K160" t="s">
        <v>89</v>
      </c>
      <c r="L160">
        <v>742</v>
      </c>
      <c r="M160">
        <v>14</v>
      </c>
      <c r="N160">
        <v>10388</v>
      </c>
    </row>
    <row r="161" spans="1:14" x14ac:dyDescent="0.25">
      <c r="A161">
        <v>163</v>
      </c>
      <c r="B161" s="2">
        <v>45403</v>
      </c>
      <c r="C161">
        <v>1789830506</v>
      </c>
      <c r="D161" t="s">
        <v>15</v>
      </c>
      <c r="E161" t="s">
        <v>30</v>
      </c>
      <c r="F161" t="s">
        <v>41</v>
      </c>
      <c r="G161" t="s">
        <v>51</v>
      </c>
      <c r="H161" t="s">
        <v>59</v>
      </c>
      <c r="I161" t="s">
        <v>63</v>
      </c>
      <c r="J161" t="s">
        <v>82</v>
      </c>
      <c r="K161" t="s">
        <v>97</v>
      </c>
      <c r="L161">
        <v>532</v>
      </c>
      <c r="M161">
        <v>85</v>
      </c>
      <c r="N161">
        <v>45220</v>
      </c>
    </row>
    <row r="162" spans="1:14" x14ac:dyDescent="0.25">
      <c r="A162">
        <v>164</v>
      </c>
      <c r="B162" s="2">
        <v>45559</v>
      </c>
      <c r="C162">
        <v>6281652174</v>
      </c>
      <c r="D162" t="s">
        <v>25</v>
      </c>
      <c r="E162" t="s">
        <v>33</v>
      </c>
      <c r="F162" t="s">
        <v>49</v>
      </c>
      <c r="G162" t="s">
        <v>50</v>
      </c>
      <c r="H162" t="s">
        <v>59</v>
      </c>
      <c r="I162" t="s">
        <v>63</v>
      </c>
      <c r="J162" t="s">
        <v>74</v>
      </c>
      <c r="K162" t="s">
        <v>88</v>
      </c>
      <c r="L162">
        <v>41.86</v>
      </c>
      <c r="M162">
        <v>88</v>
      </c>
      <c r="N162">
        <v>3683.68</v>
      </c>
    </row>
    <row r="163" spans="1:14" x14ac:dyDescent="0.25">
      <c r="A163">
        <v>165</v>
      </c>
      <c r="B163" s="2">
        <v>45320</v>
      </c>
      <c r="C163">
        <v>8126696083</v>
      </c>
      <c r="D163" t="s">
        <v>23</v>
      </c>
      <c r="E163" t="s">
        <v>39</v>
      </c>
      <c r="F163" t="s">
        <v>48</v>
      </c>
      <c r="G163" t="s">
        <v>52</v>
      </c>
      <c r="H163" t="s">
        <v>59</v>
      </c>
      <c r="I163" t="s">
        <v>63</v>
      </c>
      <c r="J163" t="s">
        <v>74</v>
      </c>
      <c r="K163" t="s">
        <v>88</v>
      </c>
      <c r="L163">
        <v>41.86</v>
      </c>
      <c r="M163">
        <v>81</v>
      </c>
      <c r="N163">
        <v>3390.66</v>
      </c>
    </row>
    <row r="164" spans="1:14" x14ac:dyDescent="0.25">
      <c r="A164">
        <v>166</v>
      </c>
      <c r="B164" s="2">
        <v>45621</v>
      </c>
      <c r="C164">
        <v>2706456269</v>
      </c>
      <c r="D164" t="s">
        <v>20</v>
      </c>
      <c r="E164" t="s">
        <v>35</v>
      </c>
      <c r="F164" t="s">
        <v>45</v>
      </c>
      <c r="G164" t="s">
        <v>55</v>
      </c>
      <c r="H164" t="s">
        <v>60</v>
      </c>
      <c r="I164" t="s">
        <v>62</v>
      </c>
      <c r="J164" t="s">
        <v>72</v>
      </c>
      <c r="K164" t="s">
        <v>92</v>
      </c>
      <c r="L164">
        <v>135.1</v>
      </c>
      <c r="M164">
        <v>33</v>
      </c>
      <c r="N164">
        <v>4458.3</v>
      </c>
    </row>
    <row r="165" spans="1:14" x14ac:dyDescent="0.25">
      <c r="A165">
        <v>167</v>
      </c>
      <c r="B165" s="2">
        <v>45628</v>
      </c>
      <c r="C165">
        <v>6159315697</v>
      </c>
      <c r="D165" t="s">
        <v>20</v>
      </c>
      <c r="E165" t="s">
        <v>35</v>
      </c>
      <c r="F165" t="s">
        <v>45</v>
      </c>
      <c r="G165" t="s">
        <v>55</v>
      </c>
      <c r="H165" t="s">
        <v>60</v>
      </c>
      <c r="I165" t="s">
        <v>62</v>
      </c>
      <c r="J165" t="s">
        <v>77</v>
      </c>
      <c r="K165" t="s">
        <v>96</v>
      </c>
      <c r="L165">
        <v>257.60000000000002</v>
      </c>
      <c r="M165">
        <v>47</v>
      </c>
      <c r="N165">
        <v>12107.2</v>
      </c>
    </row>
    <row r="166" spans="1:14" x14ac:dyDescent="0.25">
      <c r="A166">
        <v>168</v>
      </c>
      <c r="B166" s="2">
        <v>45487</v>
      </c>
      <c r="C166">
        <v>2749029538</v>
      </c>
      <c r="D166" t="s">
        <v>24</v>
      </c>
      <c r="E166" t="s">
        <v>32</v>
      </c>
      <c r="F166" t="s">
        <v>43</v>
      </c>
      <c r="G166" t="s">
        <v>57</v>
      </c>
      <c r="H166" t="s">
        <v>59</v>
      </c>
      <c r="I166" t="s">
        <v>61</v>
      </c>
      <c r="J166" t="s">
        <v>78</v>
      </c>
      <c r="K166" t="s">
        <v>97</v>
      </c>
      <c r="L166">
        <v>273</v>
      </c>
      <c r="M166">
        <v>61</v>
      </c>
      <c r="N166">
        <v>16653</v>
      </c>
    </row>
    <row r="167" spans="1:14" x14ac:dyDescent="0.25">
      <c r="A167">
        <v>169</v>
      </c>
      <c r="B167" s="2">
        <v>45459</v>
      </c>
      <c r="C167">
        <v>9017454158</v>
      </c>
      <c r="D167" t="s">
        <v>24</v>
      </c>
      <c r="E167" t="s">
        <v>32</v>
      </c>
      <c r="F167" t="s">
        <v>43</v>
      </c>
      <c r="G167" t="s">
        <v>57</v>
      </c>
      <c r="H167" t="s">
        <v>59</v>
      </c>
      <c r="I167" t="s">
        <v>61</v>
      </c>
      <c r="J167" t="s">
        <v>79</v>
      </c>
      <c r="K167" t="s">
        <v>98</v>
      </c>
      <c r="L167">
        <v>487.19999999999987</v>
      </c>
      <c r="M167">
        <v>27</v>
      </c>
      <c r="N167">
        <v>13154.4</v>
      </c>
    </row>
    <row r="168" spans="1:14" x14ac:dyDescent="0.25">
      <c r="A168">
        <v>170</v>
      </c>
      <c r="B168" s="2">
        <v>45354</v>
      </c>
      <c r="C168">
        <v>445300235</v>
      </c>
      <c r="D168" t="s">
        <v>19</v>
      </c>
      <c r="E168" t="s">
        <v>34</v>
      </c>
      <c r="F168" t="s">
        <v>44</v>
      </c>
      <c r="G168" t="s">
        <v>54</v>
      </c>
      <c r="H168" t="s">
        <v>58</v>
      </c>
      <c r="I168" t="s">
        <v>62</v>
      </c>
      <c r="J168" t="s">
        <v>64</v>
      </c>
      <c r="K168" t="s">
        <v>88</v>
      </c>
      <c r="L168">
        <v>196</v>
      </c>
      <c r="M168">
        <v>84</v>
      </c>
      <c r="N168">
        <v>16464</v>
      </c>
    </row>
    <row r="169" spans="1:14" x14ac:dyDescent="0.25">
      <c r="A169">
        <v>171</v>
      </c>
      <c r="B169" s="2">
        <v>45305</v>
      </c>
      <c r="C169">
        <v>3498781571</v>
      </c>
      <c r="D169" t="s">
        <v>17</v>
      </c>
      <c r="E169" t="s">
        <v>31</v>
      </c>
      <c r="F169" t="s">
        <v>42</v>
      </c>
      <c r="G169" t="s">
        <v>52</v>
      </c>
      <c r="H169" t="s">
        <v>58</v>
      </c>
      <c r="I169" t="s">
        <v>61</v>
      </c>
      <c r="J169" t="s">
        <v>73</v>
      </c>
      <c r="K169" t="s">
        <v>93</v>
      </c>
      <c r="L169">
        <v>560</v>
      </c>
      <c r="M169">
        <v>91</v>
      </c>
      <c r="N169">
        <v>50960</v>
      </c>
    </row>
    <row r="170" spans="1:14" x14ac:dyDescent="0.25">
      <c r="A170">
        <v>172</v>
      </c>
      <c r="B170" s="2">
        <v>45469</v>
      </c>
      <c r="C170">
        <v>376477229</v>
      </c>
      <c r="D170" t="s">
        <v>17</v>
      </c>
      <c r="E170" t="s">
        <v>31</v>
      </c>
      <c r="F170" t="s">
        <v>42</v>
      </c>
      <c r="G170" t="s">
        <v>52</v>
      </c>
      <c r="H170" t="s">
        <v>58</v>
      </c>
      <c r="I170" t="s">
        <v>61</v>
      </c>
      <c r="J170" t="s">
        <v>70</v>
      </c>
      <c r="K170" t="s">
        <v>90</v>
      </c>
      <c r="L170">
        <v>128.80000000000001</v>
      </c>
      <c r="M170">
        <v>36</v>
      </c>
      <c r="N170">
        <v>4636.7999999999993</v>
      </c>
    </row>
    <row r="171" spans="1:14" x14ac:dyDescent="0.25">
      <c r="A171">
        <v>173</v>
      </c>
      <c r="B171" s="2">
        <v>45580</v>
      </c>
      <c r="C171">
        <v>1790721708</v>
      </c>
      <c r="D171" t="s">
        <v>26</v>
      </c>
      <c r="E171" t="s">
        <v>36</v>
      </c>
      <c r="F171" t="s">
        <v>46</v>
      </c>
      <c r="G171" t="s">
        <v>56</v>
      </c>
      <c r="H171" t="s">
        <v>59</v>
      </c>
      <c r="I171" t="s">
        <v>63</v>
      </c>
      <c r="J171" t="s">
        <v>83</v>
      </c>
      <c r="K171" t="s">
        <v>90</v>
      </c>
      <c r="L171">
        <v>140</v>
      </c>
      <c r="M171">
        <v>34</v>
      </c>
      <c r="N171">
        <v>4760</v>
      </c>
    </row>
    <row r="172" spans="1:14" x14ac:dyDescent="0.25">
      <c r="A172">
        <v>174</v>
      </c>
      <c r="B172" s="2">
        <v>45292</v>
      </c>
      <c r="C172">
        <v>434033868</v>
      </c>
      <c r="D172" t="s">
        <v>27</v>
      </c>
      <c r="E172" t="s">
        <v>38</v>
      </c>
      <c r="F172" t="s">
        <v>38</v>
      </c>
      <c r="G172" t="s">
        <v>55</v>
      </c>
      <c r="H172" t="s">
        <v>60</v>
      </c>
      <c r="I172" t="s">
        <v>62</v>
      </c>
      <c r="J172" t="s">
        <v>84</v>
      </c>
      <c r="K172" t="s">
        <v>100</v>
      </c>
      <c r="L172">
        <v>298.89999999999998</v>
      </c>
      <c r="M172">
        <v>81</v>
      </c>
      <c r="N172">
        <v>24210.9</v>
      </c>
    </row>
    <row r="173" spans="1:14" x14ac:dyDescent="0.25">
      <c r="A173">
        <v>175</v>
      </c>
      <c r="B173" s="2">
        <v>45515</v>
      </c>
      <c r="C173">
        <v>3247684317</v>
      </c>
      <c r="D173" t="s">
        <v>27</v>
      </c>
      <c r="E173" t="s">
        <v>38</v>
      </c>
      <c r="F173" t="s">
        <v>38</v>
      </c>
      <c r="G173" t="s">
        <v>55</v>
      </c>
      <c r="H173" t="s">
        <v>60</v>
      </c>
      <c r="I173" t="s">
        <v>62</v>
      </c>
      <c r="J173" t="s">
        <v>72</v>
      </c>
      <c r="K173" t="s">
        <v>92</v>
      </c>
      <c r="L173">
        <v>135.1</v>
      </c>
      <c r="M173">
        <v>25</v>
      </c>
      <c r="N173">
        <v>3377.5</v>
      </c>
    </row>
    <row r="174" spans="1:14" x14ac:dyDescent="0.25">
      <c r="A174">
        <v>176</v>
      </c>
      <c r="B174" s="2">
        <v>45394</v>
      </c>
      <c r="C174">
        <v>6492121203</v>
      </c>
      <c r="D174" t="s">
        <v>27</v>
      </c>
      <c r="E174" t="s">
        <v>38</v>
      </c>
      <c r="F174" t="s">
        <v>38</v>
      </c>
      <c r="G174" t="s">
        <v>55</v>
      </c>
      <c r="H174" t="s">
        <v>60</v>
      </c>
      <c r="I174" t="s">
        <v>62</v>
      </c>
      <c r="J174" t="s">
        <v>77</v>
      </c>
      <c r="K174" t="s">
        <v>96</v>
      </c>
      <c r="L174">
        <v>257.60000000000002</v>
      </c>
      <c r="M174">
        <v>12</v>
      </c>
      <c r="N174">
        <v>3091.2</v>
      </c>
    </row>
    <row r="175" spans="1:14" x14ac:dyDescent="0.25">
      <c r="A175">
        <v>177</v>
      </c>
      <c r="B175" s="2">
        <v>45320</v>
      </c>
      <c r="C175">
        <v>1661667624</v>
      </c>
      <c r="D175" t="s">
        <v>18</v>
      </c>
      <c r="E175" t="s">
        <v>32</v>
      </c>
      <c r="F175" t="s">
        <v>43</v>
      </c>
      <c r="G175" t="s">
        <v>53</v>
      </c>
      <c r="H175" t="s">
        <v>58</v>
      </c>
      <c r="I175" t="s">
        <v>61</v>
      </c>
      <c r="J175" t="s">
        <v>64</v>
      </c>
      <c r="K175" t="s">
        <v>88</v>
      </c>
      <c r="L175">
        <v>196</v>
      </c>
      <c r="M175">
        <v>23</v>
      </c>
      <c r="N175">
        <v>4508</v>
      </c>
    </row>
    <row r="176" spans="1:14" x14ac:dyDescent="0.25">
      <c r="A176">
        <v>178</v>
      </c>
      <c r="B176" s="2">
        <v>45649</v>
      </c>
      <c r="C176">
        <v>1127190015</v>
      </c>
      <c r="D176" t="s">
        <v>19</v>
      </c>
      <c r="E176" t="s">
        <v>34</v>
      </c>
      <c r="F176" t="s">
        <v>44</v>
      </c>
      <c r="G176" t="s">
        <v>54</v>
      </c>
      <c r="H176" t="s">
        <v>60</v>
      </c>
      <c r="I176" t="s">
        <v>61</v>
      </c>
      <c r="J176" t="s">
        <v>71</v>
      </c>
      <c r="K176" t="s">
        <v>91</v>
      </c>
      <c r="L176">
        <v>178.5</v>
      </c>
      <c r="M176">
        <v>76</v>
      </c>
      <c r="N176">
        <v>13566</v>
      </c>
    </row>
    <row r="177" spans="1:14" x14ac:dyDescent="0.25">
      <c r="A177">
        <v>179</v>
      </c>
      <c r="B177" s="2">
        <v>45398</v>
      </c>
      <c r="C177">
        <v>7862399002</v>
      </c>
      <c r="D177" t="s">
        <v>15</v>
      </c>
      <c r="E177" t="s">
        <v>30</v>
      </c>
      <c r="F177" t="s">
        <v>41</v>
      </c>
      <c r="G177" t="s">
        <v>51</v>
      </c>
      <c r="H177" t="s">
        <v>59</v>
      </c>
      <c r="I177" t="s">
        <v>62</v>
      </c>
      <c r="J177" t="s">
        <v>85</v>
      </c>
      <c r="K177" t="s">
        <v>94</v>
      </c>
      <c r="L177">
        <v>1134</v>
      </c>
      <c r="M177">
        <v>55</v>
      </c>
      <c r="N177">
        <v>62370</v>
      </c>
    </row>
    <row r="178" spans="1:14" x14ac:dyDescent="0.25">
      <c r="A178">
        <v>180</v>
      </c>
      <c r="B178" s="2">
        <v>45544</v>
      </c>
      <c r="C178">
        <v>9568142105</v>
      </c>
      <c r="D178" t="s">
        <v>15</v>
      </c>
      <c r="E178" t="s">
        <v>30</v>
      </c>
      <c r="F178" t="s">
        <v>41</v>
      </c>
      <c r="G178" t="s">
        <v>51</v>
      </c>
      <c r="H178" t="s">
        <v>59</v>
      </c>
      <c r="I178" t="s">
        <v>62</v>
      </c>
      <c r="J178" t="s">
        <v>86</v>
      </c>
      <c r="K178" t="s">
        <v>101</v>
      </c>
      <c r="L178">
        <v>98</v>
      </c>
      <c r="M178">
        <v>19</v>
      </c>
      <c r="N178">
        <v>1862</v>
      </c>
    </row>
    <row r="179" spans="1:14" x14ac:dyDescent="0.25">
      <c r="A179">
        <v>181</v>
      </c>
      <c r="B179" s="2">
        <v>45325</v>
      </c>
      <c r="C179">
        <v>1181634254</v>
      </c>
      <c r="D179" t="s">
        <v>17</v>
      </c>
      <c r="E179" t="s">
        <v>31</v>
      </c>
      <c r="F179" t="s">
        <v>42</v>
      </c>
      <c r="G179" t="s">
        <v>52</v>
      </c>
      <c r="H179" t="s">
        <v>60</v>
      </c>
      <c r="I179" t="s">
        <v>62</v>
      </c>
      <c r="J179" t="s">
        <v>79</v>
      </c>
      <c r="K179" t="s">
        <v>98</v>
      </c>
      <c r="L179">
        <v>487.19999999999987</v>
      </c>
      <c r="M179">
        <v>27</v>
      </c>
      <c r="N179">
        <v>13154.4</v>
      </c>
    </row>
    <row r="180" spans="1:14" x14ac:dyDescent="0.25">
      <c r="A180">
        <v>182</v>
      </c>
      <c r="B180" s="2">
        <v>45513</v>
      </c>
      <c r="C180">
        <v>5404968765</v>
      </c>
      <c r="D180" t="s">
        <v>25</v>
      </c>
      <c r="E180" t="s">
        <v>33</v>
      </c>
      <c r="F180" t="s">
        <v>49</v>
      </c>
      <c r="G180" t="s">
        <v>50</v>
      </c>
      <c r="H180" t="s">
        <v>58</v>
      </c>
      <c r="I180" t="s">
        <v>63</v>
      </c>
      <c r="J180" t="s">
        <v>87</v>
      </c>
      <c r="K180" t="s">
        <v>95</v>
      </c>
      <c r="L180">
        <v>140</v>
      </c>
      <c r="M180">
        <v>99</v>
      </c>
      <c r="N180">
        <v>13860</v>
      </c>
    </row>
    <row r="181" spans="1:14" x14ac:dyDescent="0.25">
      <c r="A181">
        <v>183</v>
      </c>
      <c r="B181" s="2">
        <v>45420</v>
      </c>
      <c r="C181">
        <v>2431996009</v>
      </c>
      <c r="D181" t="s">
        <v>25</v>
      </c>
      <c r="E181" t="s">
        <v>33</v>
      </c>
      <c r="F181" t="s">
        <v>49</v>
      </c>
      <c r="G181" t="s">
        <v>50</v>
      </c>
      <c r="H181" t="s">
        <v>58</v>
      </c>
      <c r="I181" t="s">
        <v>63</v>
      </c>
      <c r="J181" t="s">
        <v>73</v>
      </c>
      <c r="K181" t="s">
        <v>93</v>
      </c>
      <c r="L181">
        <v>560</v>
      </c>
      <c r="M181">
        <v>10</v>
      </c>
      <c r="N181">
        <v>5600</v>
      </c>
    </row>
    <row r="182" spans="1:14" x14ac:dyDescent="0.25">
      <c r="A182">
        <v>184</v>
      </c>
      <c r="B182" s="2">
        <v>45562</v>
      </c>
      <c r="C182">
        <v>6373385557</v>
      </c>
      <c r="D182" t="s">
        <v>21</v>
      </c>
      <c r="E182" t="s">
        <v>36</v>
      </c>
      <c r="F182" t="s">
        <v>46</v>
      </c>
      <c r="G182" t="s">
        <v>56</v>
      </c>
      <c r="H182" t="s">
        <v>58</v>
      </c>
      <c r="I182" t="s">
        <v>62</v>
      </c>
      <c r="J182" t="s">
        <v>80</v>
      </c>
      <c r="K182" t="s">
        <v>89</v>
      </c>
      <c r="L182">
        <v>140</v>
      </c>
      <c r="M182">
        <v>80</v>
      </c>
      <c r="N182">
        <v>11200</v>
      </c>
    </row>
    <row r="183" spans="1:14" x14ac:dyDescent="0.25">
      <c r="A183">
        <v>185</v>
      </c>
      <c r="B183" s="2">
        <v>45530</v>
      </c>
      <c r="C183">
        <v>5411926783</v>
      </c>
      <c r="D183" t="s">
        <v>21</v>
      </c>
      <c r="E183" t="s">
        <v>36</v>
      </c>
      <c r="F183" t="s">
        <v>46</v>
      </c>
      <c r="G183" t="s">
        <v>56</v>
      </c>
      <c r="H183" t="s">
        <v>59</v>
      </c>
      <c r="I183" t="s">
        <v>61</v>
      </c>
      <c r="J183" t="s">
        <v>65</v>
      </c>
      <c r="K183" t="s">
        <v>89</v>
      </c>
      <c r="L183">
        <v>49</v>
      </c>
      <c r="M183">
        <v>27</v>
      </c>
      <c r="N183">
        <v>1323</v>
      </c>
    </row>
    <row r="184" spans="1:14" x14ac:dyDescent="0.25">
      <c r="A184">
        <v>186</v>
      </c>
      <c r="B184" s="2">
        <v>45579</v>
      </c>
      <c r="C184">
        <v>8397590471</v>
      </c>
      <c r="D184" t="s">
        <v>22</v>
      </c>
      <c r="E184" t="s">
        <v>38</v>
      </c>
      <c r="F184" t="s">
        <v>38</v>
      </c>
      <c r="G184" t="s">
        <v>55</v>
      </c>
      <c r="H184" t="s">
        <v>60</v>
      </c>
      <c r="I184" t="s">
        <v>61</v>
      </c>
      <c r="J184" t="s">
        <v>73</v>
      </c>
      <c r="K184" t="s">
        <v>93</v>
      </c>
      <c r="L184">
        <v>560</v>
      </c>
      <c r="M184">
        <v>97</v>
      </c>
      <c r="N184">
        <v>54320</v>
      </c>
    </row>
    <row r="185" spans="1:14" x14ac:dyDescent="0.25">
      <c r="A185">
        <v>187</v>
      </c>
      <c r="B185" s="2">
        <v>45499</v>
      </c>
      <c r="C185">
        <v>5905399576</v>
      </c>
      <c r="D185" t="s">
        <v>23</v>
      </c>
      <c r="E185" t="s">
        <v>39</v>
      </c>
      <c r="F185" t="s">
        <v>48</v>
      </c>
      <c r="G185" t="s">
        <v>52</v>
      </c>
      <c r="H185" t="s">
        <v>60</v>
      </c>
      <c r="I185" t="s">
        <v>63</v>
      </c>
      <c r="J185" t="s">
        <v>77</v>
      </c>
      <c r="K185" t="s">
        <v>96</v>
      </c>
      <c r="L185">
        <v>257.60000000000002</v>
      </c>
      <c r="M185">
        <v>42</v>
      </c>
      <c r="N185">
        <v>10819.2</v>
      </c>
    </row>
    <row r="186" spans="1:14" x14ac:dyDescent="0.25">
      <c r="A186">
        <v>188</v>
      </c>
      <c r="B186" s="2">
        <v>45408</v>
      </c>
      <c r="C186">
        <v>168682758</v>
      </c>
      <c r="D186" t="s">
        <v>20</v>
      </c>
      <c r="E186" t="s">
        <v>35</v>
      </c>
      <c r="F186" t="s">
        <v>45</v>
      </c>
      <c r="G186" t="s">
        <v>55</v>
      </c>
      <c r="H186" t="s">
        <v>60</v>
      </c>
      <c r="I186" t="s">
        <v>62</v>
      </c>
      <c r="J186" t="s">
        <v>69</v>
      </c>
      <c r="K186" t="s">
        <v>88</v>
      </c>
      <c r="L186">
        <v>644</v>
      </c>
      <c r="M186">
        <v>24</v>
      </c>
      <c r="N186">
        <v>15456</v>
      </c>
    </row>
    <row r="187" spans="1:14" x14ac:dyDescent="0.25">
      <c r="A187">
        <v>189</v>
      </c>
      <c r="B187" s="2">
        <v>45623</v>
      </c>
      <c r="C187">
        <v>4992553897</v>
      </c>
      <c r="D187" t="s">
        <v>24</v>
      </c>
      <c r="E187" t="s">
        <v>32</v>
      </c>
      <c r="F187" t="s">
        <v>43</v>
      </c>
      <c r="G187" t="s">
        <v>57</v>
      </c>
      <c r="H187" t="s">
        <v>59</v>
      </c>
      <c r="I187" t="s">
        <v>61</v>
      </c>
      <c r="J187" t="s">
        <v>72</v>
      </c>
      <c r="K187" t="s">
        <v>92</v>
      </c>
      <c r="L187">
        <v>135.1</v>
      </c>
      <c r="M187">
        <v>90</v>
      </c>
      <c r="N187">
        <v>12159</v>
      </c>
    </row>
    <row r="188" spans="1:14" x14ac:dyDescent="0.25">
      <c r="A188">
        <v>190</v>
      </c>
      <c r="B188" s="2">
        <v>45621</v>
      </c>
      <c r="C188">
        <v>9609810399</v>
      </c>
      <c r="D188" t="s">
        <v>19</v>
      </c>
      <c r="E188" t="s">
        <v>34</v>
      </c>
      <c r="F188" t="s">
        <v>44</v>
      </c>
      <c r="G188" t="s">
        <v>54</v>
      </c>
      <c r="H188" t="s">
        <v>58</v>
      </c>
      <c r="I188" t="s">
        <v>62</v>
      </c>
      <c r="J188" t="s">
        <v>71</v>
      </c>
      <c r="K188" t="s">
        <v>91</v>
      </c>
      <c r="L188">
        <v>178.5</v>
      </c>
      <c r="M188">
        <v>28</v>
      </c>
      <c r="N188">
        <v>4998</v>
      </c>
    </row>
    <row r="189" spans="1:14" x14ac:dyDescent="0.25">
      <c r="A189">
        <v>191</v>
      </c>
      <c r="B189" s="2">
        <v>45506</v>
      </c>
      <c r="C189">
        <v>1537469039</v>
      </c>
      <c r="D189" t="s">
        <v>20</v>
      </c>
      <c r="E189" t="s">
        <v>35</v>
      </c>
      <c r="F189" t="s">
        <v>45</v>
      </c>
      <c r="G189" t="s">
        <v>55</v>
      </c>
      <c r="H189" t="s">
        <v>60</v>
      </c>
      <c r="I189" t="s">
        <v>61</v>
      </c>
      <c r="J189" t="s">
        <v>69</v>
      </c>
      <c r="K189" t="s">
        <v>88</v>
      </c>
      <c r="L189">
        <v>644</v>
      </c>
      <c r="M189">
        <v>28</v>
      </c>
      <c r="N189">
        <v>18032</v>
      </c>
    </row>
    <row r="190" spans="1:14" x14ac:dyDescent="0.25">
      <c r="A190">
        <v>192</v>
      </c>
      <c r="B190" s="2">
        <v>45510</v>
      </c>
      <c r="C190">
        <v>2018401595</v>
      </c>
      <c r="D190" t="s">
        <v>17</v>
      </c>
      <c r="E190" t="s">
        <v>31</v>
      </c>
      <c r="F190" t="s">
        <v>42</v>
      </c>
      <c r="G190" t="s">
        <v>52</v>
      </c>
      <c r="H190" t="s">
        <v>60</v>
      </c>
      <c r="I190" t="s">
        <v>61</v>
      </c>
      <c r="J190" t="s">
        <v>71</v>
      </c>
      <c r="K190" t="s">
        <v>91</v>
      </c>
      <c r="L190">
        <v>178.5</v>
      </c>
      <c r="M190">
        <v>57</v>
      </c>
      <c r="N190">
        <v>10174.5</v>
      </c>
    </row>
    <row r="191" spans="1:14" x14ac:dyDescent="0.25">
      <c r="A191">
        <v>193</v>
      </c>
      <c r="B191" s="2">
        <v>45422</v>
      </c>
      <c r="C191">
        <v>1129934476</v>
      </c>
      <c r="D191" t="s">
        <v>21</v>
      </c>
      <c r="E191" t="s">
        <v>36</v>
      </c>
      <c r="F191" t="s">
        <v>46</v>
      </c>
      <c r="G191" t="s">
        <v>56</v>
      </c>
      <c r="H191" t="s">
        <v>58</v>
      </c>
      <c r="I191" t="s">
        <v>62</v>
      </c>
      <c r="J191" t="s">
        <v>74</v>
      </c>
      <c r="K191" t="s">
        <v>88</v>
      </c>
      <c r="L191">
        <v>41.86</v>
      </c>
      <c r="M191">
        <v>23</v>
      </c>
      <c r="N191">
        <v>962.78</v>
      </c>
    </row>
    <row r="192" spans="1:14" x14ac:dyDescent="0.25">
      <c r="A192">
        <v>194</v>
      </c>
      <c r="B192" s="2">
        <v>45390</v>
      </c>
      <c r="C192">
        <v>878400496</v>
      </c>
      <c r="D192" t="s">
        <v>28</v>
      </c>
      <c r="E192" t="s">
        <v>37</v>
      </c>
      <c r="F192" t="s">
        <v>47</v>
      </c>
      <c r="G192" t="s">
        <v>52</v>
      </c>
      <c r="H192" t="s">
        <v>60</v>
      </c>
      <c r="I192" t="s">
        <v>62</v>
      </c>
      <c r="J192" t="s">
        <v>69</v>
      </c>
      <c r="K192" t="s">
        <v>88</v>
      </c>
      <c r="L192">
        <v>644</v>
      </c>
      <c r="M192">
        <v>86</v>
      </c>
      <c r="N192">
        <v>55384</v>
      </c>
    </row>
    <row r="193" spans="1:14" x14ac:dyDescent="0.25">
      <c r="A193">
        <v>195</v>
      </c>
      <c r="B193" s="2">
        <v>45504</v>
      </c>
      <c r="C193">
        <v>6271764467</v>
      </c>
      <c r="D193" t="s">
        <v>21</v>
      </c>
      <c r="E193" t="s">
        <v>36</v>
      </c>
      <c r="F193" t="s">
        <v>46</v>
      </c>
      <c r="G193" t="s">
        <v>56</v>
      </c>
      <c r="H193" t="s">
        <v>59</v>
      </c>
      <c r="I193" t="s">
        <v>62</v>
      </c>
      <c r="J193" t="s">
        <v>75</v>
      </c>
      <c r="K193" t="s">
        <v>94</v>
      </c>
      <c r="L193">
        <v>350</v>
      </c>
      <c r="M193">
        <v>47</v>
      </c>
      <c r="N193">
        <v>16450</v>
      </c>
    </row>
    <row r="194" spans="1:14" x14ac:dyDescent="0.25">
      <c r="A194">
        <v>196</v>
      </c>
      <c r="B194" s="2">
        <v>45314</v>
      </c>
      <c r="C194">
        <v>5954546839</v>
      </c>
      <c r="D194" t="s">
        <v>21</v>
      </c>
      <c r="E194" t="s">
        <v>36</v>
      </c>
      <c r="F194" t="s">
        <v>46</v>
      </c>
      <c r="G194" t="s">
        <v>56</v>
      </c>
      <c r="H194" t="s">
        <v>59</v>
      </c>
      <c r="I194" t="s">
        <v>61</v>
      </c>
      <c r="J194" t="s">
        <v>76</v>
      </c>
      <c r="K194" t="s">
        <v>95</v>
      </c>
      <c r="L194">
        <v>308</v>
      </c>
      <c r="M194">
        <v>97</v>
      </c>
      <c r="N194">
        <v>29876</v>
      </c>
    </row>
    <row r="195" spans="1:14" x14ac:dyDescent="0.25">
      <c r="A195">
        <v>197</v>
      </c>
      <c r="B195" s="2">
        <v>45366</v>
      </c>
      <c r="C195">
        <v>1007419194</v>
      </c>
      <c r="D195" t="s">
        <v>21</v>
      </c>
      <c r="E195" t="s">
        <v>36</v>
      </c>
      <c r="F195" t="s">
        <v>46</v>
      </c>
      <c r="G195" t="s">
        <v>56</v>
      </c>
      <c r="H195" t="s">
        <v>59</v>
      </c>
      <c r="I195" t="s">
        <v>61</v>
      </c>
      <c r="J195" t="s">
        <v>70</v>
      </c>
      <c r="K195" t="s">
        <v>90</v>
      </c>
      <c r="L195">
        <v>128.80000000000001</v>
      </c>
      <c r="M195">
        <v>96</v>
      </c>
      <c r="N195">
        <v>12364.8</v>
      </c>
    </row>
    <row r="196" spans="1:14" x14ac:dyDescent="0.25">
      <c r="A196">
        <v>198</v>
      </c>
      <c r="B196" s="2">
        <v>45352</v>
      </c>
      <c r="C196">
        <v>2749506386</v>
      </c>
      <c r="D196" t="s">
        <v>22</v>
      </c>
      <c r="E196" t="s">
        <v>38</v>
      </c>
      <c r="F196" t="s">
        <v>38</v>
      </c>
      <c r="G196" t="s">
        <v>55</v>
      </c>
      <c r="H196" t="s">
        <v>60</v>
      </c>
      <c r="I196" t="s">
        <v>61</v>
      </c>
      <c r="J196" t="s">
        <v>65</v>
      </c>
      <c r="K196" t="s">
        <v>89</v>
      </c>
      <c r="L196">
        <v>49</v>
      </c>
      <c r="M196">
        <v>31</v>
      </c>
      <c r="N196">
        <v>1519</v>
      </c>
    </row>
    <row r="197" spans="1:14" x14ac:dyDescent="0.25">
      <c r="A197">
        <v>199</v>
      </c>
      <c r="B197" s="2">
        <v>45458</v>
      </c>
      <c r="C197">
        <v>3279160134</v>
      </c>
      <c r="D197" t="s">
        <v>22</v>
      </c>
      <c r="E197" t="s">
        <v>38</v>
      </c>
      <c r="F197" t="s">
        <v>38</v>
      </c>
      <c r="G197" t="s">
        <v>55</v>
      </c>
      <c r="H197" t="s">
        <v>60</v>
      </c>
      <c r="I197" t="s">
        <v>63</v>
      </c>
      <c r="J197" t="s">
        <v>74</v>
      </c>
      <c r="K197" t="s">
        <v>88</v>
      </c>
      <c r="L197">
        <v>41.86</v>
      </c>
      <c r="M197">
        <v>52</v>
      </c>
      <c r="N197">
        <v>2176.7199999999998</v>
      </c>
    </row>
    <row r="198" spans="1:14" x14ac:dyDescent="0.25">
      <c r="A198">
        <v>200</v>
      </c>
      <c r="B198" s="2">
        <v>45455</v>
      </c>
      <c r="C198">
        <v>6789089883</v>
      </c>
      <c r="D198" t="s">
        <v>23</v>
      </c>
      <c r="E198" t="s">
        <v>39</v>
      </c>
      <c r="F198" t="s">
        <v>48</v>
      </c>
      <c r="G198" t="s">
        <v>52</v>
      </c>
      <c r="H198" t="s">
        <v>59</v>
      </c>
      <c r="I198" t="s">
        <v>63</v>
      </c>
      <c r="J198" t="s">
        <v>68</v>
      </c>
      <c r="K198" t="s">
        <v>88</v>
      </c>
      <c r="L198">
        <v>252</v>
      </c>
      <c r="M198">
        <v>91</v>
      </c>
      <c r="N198">
        <v>22932</v>
      </c>
    </row>
    <row r="199" spans="1:14" x14ac:dyDescent="0.25">
      <c r="A199">
        <v>201</v>
      </c>
      <c r="B199" s="2">
        <v>45465</v>
      </c>
      <c r="C199">
        <v>7775981065</v>
      </c>
      <c r="D199" t="s">
        <v>23</v>
      </c>
      <c r="E199" t="s">
        <v>39</v>
      </c>
      <c r="F199" t="s">
        <v>48</v>
      </c>
      <c r="G199" t="s">
        <v>52</v>
      </c>
      <c r="H199" t="s">
        <v>58</v>
      </c>
      <c r="I199" t="s">
        <v>63</v>
      </c>
      <c r="J199" t="s">
        <v>69</v>
      </c>
      <c r="K199" t="s">
        <v>88</v>
      </c>
      <c r="L199">
        <v>644</v>
      </c>
      <c r="M199">
        <v>14</v>
      </c>
      <c r="N199">
        <v>9016</v>
      </c>
    </row>
    <row r="200" spans="1:14" x14ac:dyDescent="0.25">
      <c r="A200">
        <v>202</v>
      </c>
      <c r="B200" s="2">
        <v>45384</v>
      </c>
      <c r="C200">
        <v>5357417804</v>
      </c>
      <c r="D200" t="s">
        <v>23</v>
      </c>
      <c r="E200" t="s">
        <v>39</v>
      </c>
      <c r="F200" t="s">
        <v>48</v>
      </c>
      <c r="G200" t="s">
        <v>52</v>
      </c>
      <c r="H200" t="s">
        <v>58</v>
      </c>
      <c r="I200" t="s">
        <v>62</v>
      </c>
      <c r="J200" t="s">
        <v>74</v>
      </c>
      <c r="K200" t="s">
        <v>88</v>
      </c>
      <c r="L200">
        <v>41.86</v>
      </c>
      <c r="M200">
        <v>44</v>
      </c>
      <c r="N200">
        <v>1841.84</v>
      </c>
    </row>
    <row r="201" spans="1:14" x14ac:dyDescent="0.25">
      <c r="A201">
        <v>203</v>
      </c>
      <c r="B201" s="2">
        <v>45422</v>
      </c>
      <c r="C201">
        <v>4986720222</v>
      </c>
      <c r="D201" t="s">
        <v>20</v>
      </c>
      <c r="E201" t="s">
        <v>35</v>
      </c>
      <c r="F201" t="s">
        <v>45</v>
      </c>
      <c r="G201" t="s">
        <v>55</v>
      </c>
      <c r="H201" t="s">
        <v>60</v>
      </c>
      <c r="I201" t="s">
        <v>62</v>
      </c>
      <c r="J201" t="s">
        <v>72</v>
      </c>
      <c r="K201" t="s">
        <v>92</v>
      </c>
      <c r="L201">
        <v>135.1</v>
      </c>
      <c r="M201">
        <v>97</v>
      </c>
      <c r="N201">
        <v>13104.7</v>
      </c>
    </row>
    <row r="202" spans="1:14" x14ac:dyDescent="0.25">
      <c r="A202">
        <v>204</v>
      </c>
      <c r="B202" s="2">
        <v>45393</v>
      </c>
      <c r="C202">
        <v>9264353300</v>
      </c>
      <c r="D202" t="s">
        <v>20</v>
      </c>
      <c r="E202" t="s">
        <v>35</v>
      </c>
      <c r="F202" t="s">
        <v>45</v>
      </c>
      <c r="G202" t="s">
        <v>55</v>
      </c>
      <c r="H202" t="s">
        <v>60</v>
      </c>
      <c r="I202" t="s">
        <v>62</v>
      </c>
      <c r="J202" t="s">
        <v>77</v>
      </c>
      <c r="K202" t="s">
        <v>96</v>
      </c>
      <c r="L202">
        <v>257.60000000000002</v>
      </c>
      <c r="M202">
        <v>80</v>
      </c>
      <c r="N202">
        <v>20608</v>
      </c>
    </row>
    <row r="203" spans="1:14" x14ac:dyDescent="0.25">
      <c r="A203">
        <v>205</v>
      </c>
      <c r="B203" s="2">
        <v>45592</v>
      </c>
      <c r="C203">
        <v>4507840734</v>
      </c>
      <c r="D203" t="s">
        <v>24</v>
      </c>
      <c r="E203" t="s">
        <v>32</v>
      </c>
      <c r="F203" t="s">
        <v>43</v>
      </c>
      <c r="G203" t="s">
        <v>57</v>
      </c>
      <c r="H203" t="s">
        <v>59</v>
      </c>
      <c r="I203" t="s">
        <v>61</v>
      </c>
      <c r="J203" t="s">
        <v>78</v>
      </c>
      <c r="K203" t="s">
        <v>97</v>
      </c>
      <c r="L203">
        <v>273</v>
      </c>
      <c r="M203">
        <v>66</v>
      </c>
      <c r="N203">
        <v>18018</v>
      </c>
    </row>
    <row r="204" spans="1:14" x14ac:dyDescent="0.25">
      <c r="A204">
        <v>206</v>
      </c>
      <c r="B204" s="2">
        <v>45387</v>
      </c>
      <c r="C204">
        <v>1926814553</v>
      </c>
      <c r="D204" t="s">
        <v>24</v>
      </c>
      <c r="E204" t="s">
        <v>32</v>
      </c>
      <c r="F204" t="s">
        <v>43</v>
      </c>
      <c r="G204" t="s">
        <v>57</v>
      </c>
      <c r="H204" t="s">
        <v>59</v>
      </c>
      <c r="I204" t="s">
        <v>61</v>
      </c>
      <c r="J204" t="s">
        <v>79</v>
      </c>
      <c r="K204" t="s">
        <v>98</v>
      </c>
      <c r="L204">
        <v>487.19999999999987</v>
      </c>
      <c r="M204">
        <v>32</v>
      </c>
      <c r="N204">
        <v>15590.4</v>
      </c>
    </row>
    <row r="205" spans="1:14" x14ac:dyDescent="0.25">
      <c r="A205">
        <v>207</v>
      </c>
      <c r="B205" s="2">
        <v>45600</v>
      </c>
      <c r="C205">
        <v>1115906573</v>
      </c>
      <c r="D205" t="s">
        <v>19</v>
      </c>
      <c r="E205" t="s">
        <v>34</v>
      </c>
      <c r="F205" t="s">
        <v>44</v>
      </c>
      <c r="G205" t="s">
        <v>54</v>
      </c>
      <c r="H205" t="s">
        <v>58</v>
      </c>
      <c r="I205" t="s">
        <v>62</v>
      </c>
      <c r="J205" t="s">
        <v>64</v>
      </c>
      <c r="K205" t="s">
        <v>88</v>
      </c>
      <c r="L205">
        <v>196</v>
      </c>
      <c r="M205">
        <v>52</v>
      </c>
      <c r="N205">
        <v>10192</v>
      </c>
    </row>
    <row r="206" spans="1:14" x14ac:dyDescent="0.25">
      <c r="A206">
        <v>208</v>
      </c>
      <c r="B206" s="2">
        <v>45366</v>
      </c>
      <c r="C206">
        <v>4298972271</v>
      </c>
      <c r="D206" t="s">
        <v>17</v>
      </c>
      <c r="E206" t="s">
        <v>31</v>
      </c>
      <c r="F206" t="s">
        <v>42</v>
      </c>
      <c r="G206" t="s">
        <v>52</v>
      </c>
      <c r="H206" t="s">
        <v>58</v>
      </c>
      <c r="I206" t="s">
        <v>61</v>
      </c>
      <c r="J206" t="s">
        <v>73</v>
      </c>
      <c r="K206" t="s">
        <v>93</v>
      </c>
      <c r="L206">
        <v>560</v>
      </c>
      <c r="M206">
        <v>78</v>
      </c>
      <c r="N206">
        <v>43680</v>
      </c>
    </row>
    <row r="207" spans="1:14" x14ac:dyDescent="0.25">
      <c r="A207">
        <v>209</v>
      </c>
      <c r="B207" s="2">
        <v>45360</v>
      </c>
      <c r="C207">
        <v>1419202858</v>
      </c>
      <c r="D207" t="s">
        <v>17</v>
      </c>
      <c r="E207" t="s">
        <v>31</v>
      </c>
      <c r="F207" t="s">
        <v>42</v>
      </c>
      <c r="G207" t="s">
        <v>52</v>
      </c>
      <c r="H207" t="s">
        <v>58</v>
      </c>
      <c r="I207" t="s">
        <v>61</v>
      </c>
      <c r="J207" t="s">
        <v>70</v>
      </c>
      <c r="K207" t="s">
        <v>90</v>
      </c>
      <c r="L207">
        <v>128.80000000000001</v>
      </c>
      <c r="M207">
        <v>54</v>
      </c>
      <c r="N207">
        <v>6955.1999999999989</v>
      </c>
    </row>
    <row r="208" spans="1:14" x14ac:dyDescent="0.25">
      <c r="A208">
        <v>210</v>
      </c>
      <c r="B208" s="2">
        <v>45615</v>
      </c>
      <c r="C208">
        <v>3516608759</v>
      </c>
      <c r="D208" t="s">
        <v>26</v>
      </c>
      <c r="E208" t="s">
        <v>36</v>
      </c>
      <c r="F208" t="s">
        <v>46</v>
      </c>
      <c r="G208" t="s">
        <v>56</v>
      </c>
      <c r="H208" t="s">
        <v>59</v>
      </c>
      <c r="I208" t="s">
        <v>63</v>
      </c>
      <c r="J208" t="s">
        <v>83</v>
      </c>
      <c r="K208" t="s">
        <v>90</v>
      </c>
      <c r="L208">
        <v>140</v>
      </c>
      <c r="M208">
        <v>55</v>
      </c>
      <c r="N208">
        <v>7700</v>
      </c>
    </row>
    <row r="209" spans="1:14" x14ac:dyDescent="0.25">
      <c r="A209">
        <v>211</v>
      </c>
      <c r="B209" s="2">
        <v>45537</v>
      </c>
      <c r="C209">
        <v>8191358442</v>
      </c>
      <c r="D209" t="s">
        <v>27</v>
      </c>
      <c r="E209" t="s">
        <v>38</v>
      </c>
      <c r="F209" t="s">
        <v>38</v>
      </c>
      <c r="G209" t="s">
        <v>55</v>
      </c>
      <c r="H209" t="s">
        <v>60</v>
      </c>
      <c r="I209" t="s">
        <v>62</v>
      </c>
      <c r="J209" t="s">
        <v>84</v>
      </c>
      <c r="K209" t="s">
        <v>100</v>
      </c>
      <c r="L209">
        <v>298.89999999999998</v>
      </c>
      <c r="M209">
        <v>60</v>
      </c>
      <c r="N209">
        <v>17934</v>
      </c>
    </row>
    <row r="210" spans="1:14" x14ac:dyDescent="0.25">
      <c r="A210">
        <v>212</v>
      </c>
      <c r="B210" s="2">
        <v>45312</v>
      </c>
      <c r="C210">
        <v>8451227157</v>
      </c>
      <c r="D210" t="s">
        <v>27</v>
      </c>
      <c r="E210" t="s">
        <v>38</v>
      </c>
      <c r="F210" t="s">
        <v>38</v>
      </c>
      <c r="G210" t="s">
        <v>55</v>
      </c>
      <c r="H210" t="s">
        <v>60</v>
      </c>
      <c r="I210" t="s">
        <v>62</v>
      </c>
      <c r="J210" t="s">
        <v>72</v>
      </c>
      <c r="K210" t="s">
        <v>92</v>
      </c>
      <c r="L210">
        <v>135.1</v>
      </c>
      <c r="M210">
        <v>19</v>
      </c>
      <c r="N210">
        <v>2566.9</v>
      </c>
    </row>
    <row r="211" spans="1:14" x14ac:dyDescent="0.25">
      <c r="A211">
        <v>213</v>
      </c>
      <c r="B211" s="2">
        <v>45339</v>
      </c>
      <c r="C211">
        <v>9847155245</v>
      </c>
      <c r="D211" t="s">
        <v>27</v>
      </c>
      <c r="E211" t="s">
        <v>38</v>
      </c>
      <c r="F211" t="s">
        <v>38</v>
      </c>
      <c r="G211" t="s">
        <v>55</v>
      </c>
      <c r="H211" t="s">
        <v>60</v>
      </c>
      <c r="I211" t="s">
        <v>62</v>
      </c>
      <c r="J211" t="s">
        <v>77</v>
      </c>
      <c r="K211" t="s">
        <v>96</v>
      </c>
      <c r="L211">
        <v>257.60000000000002</v>
      </c>
      <c r="M211">
        <v>66</v>
      </c>
      <c r="N211">
        <v>17001.599999999999</v>
      </c>
    </row>
    <row r="212" spans="1:14" x14ac:dyDescent="0.25">
      <c r="A212">
        <v>214</v>
      </c>
      <c r="B212" s="2">
        <v>45347</v>
      </c>
      <c r="C212">
        <v>5189485028</v>
      </c>
      <c r="D212" t="s">
        <v>18</v>
      </c>
      <c r="E212" t="s">
        <v>32</v>
      </c>
      <c r="F212" t="s">
        <v>43</v>
      </c>
      <c r="G212" t="s">
        <v>53</v>
      </c>
      <c r="H212" t="s">
        <v>58</v>
      </c>
      <c r="I212" t="s">
        <v>61</v>
      </c>
      <c r="J212" t="s">
        <v>64</v>
      </c>
      <c r="K212" t="s">
        <v>88</v>
      </c>
      <c r="L212">
        <v>196</v>
      </c>
      <c r="M212">
        <v>42</v>
      </c>
      <c r="N212">
        <v>8232</v>
      </c>
    </row>
    <row r="213" spans="1:14" x14ac:dyDescent="0.25">
      <c r="A213">
        <v>215</v>
      </c>
      <c r="B213" s="2">
        <v>45498</v>
      </c>
      <c r="C213">
        <v>2367569858</v>
      </c>
      <c r="D213" t="s">
        <v>19</v>
      </c>
      <c r="E213" t="s">
        <v>34</v>
      </c>
      <c r="F213" t="s">
        <v>44</v>
      </c>
      <c r="G213" t="s">
        <v>54</v>
      </c>
      <c r="H213" t="s">
        <v>60</v>
      </c>
      <c r="I213" t="s">
        <v>61</v>
      </c>
      <c r="J213" t="s">
        <v>71</v>
      </c>
      <c r="K213" t="s">
        <v>91</v>
      </c>
      <c r="L213">
        <v>178.5</v>
      </c>
      <c r="M213">
        <v>72</v>
      </c>
      <c r="N213">
        <v>12852</v>
      </c>
    </row>
    <row r="214" spans="1:14" x14ac:dyDescent="0.25">
      <c r="A214">
        <v>216</v>
      </c>
      <c r="B214" s="2">
        <v>45497</v>
      </c>
      <c r="C214">
        <v>1241520334</v>
      </c>
      <c r="D214" t="s">
        <v>15</v>
      </c>
      <c r="E214" t="s">
        <v>30</v>
      </c>
      <c r="F214" t="s">
        <v>41</v>
      </c>
      <c r="G214" t="s">
        <v>51</v>
      </c>
      <c r="H214" t="s">
        <v>59</v>
      </c>
      <c r="I214" t="s">
        <v>62</v>
      </c>
      <c r="J214" t="s">
        <v>85</v>
      </c>
      <c r="K214" t="s">
        <v>94</v>
      </c>
      <c r="L214">
        <v>1134</v>
      </c>
      <c r="M214">
        <v>32</v>
      </c>
      <c r="N214">
        <v>36288</v>
      </c>
    </row>
    <row r="215" spans="1:14" x14ac:dyDescent="0.25">
      <c r="A215">
        <v>217</v>
      </c>
      <c r="B215" s="2">
        <v>45356</v>
      </c>
      <c r="C215">
        <v>6999895697</v>
      </c>
      <c r="D215" t="s">
        <v>15</v>
      </c>
      <c r="E215" t="s">
        <v>30</v>
      </c>
      <c r="F215" t="s">
        <v>41</v>
      </c>
      <c r="G215" t="s">
        <v>51</v>
      </c>
      <c r="H215" t="s">
        <v>59</v>
      </c>
      <c r="I215" t="s">
        <v>62</v>
      </c>
      <c r="J215" t="s">
        <v>86</v>
      </c>
      <c r="K215" t="s">
        <v>101</v>
      </c>
      <c r="L215">
        <v>98</v>
      </c>
      <c r="M215">
        <v>76</v>
      </c>
      <c r="N215">
        <v>7448</v>
      </c>
    </row>
    <row r="216" spans="1:14" x14ac:dyDescent="0.25">
      <c r="A216">
        <v>218</v>
      </c>
      <c r="B216" s="2">
        <v>45487</v>
      </c>
      <c r="C216">
        <v>2931440223</v>
      </c>
      <c r="D216" t="s">
        <v>21</v>
      </c>
      <c r="E216" t="s">
        <v>36</v>
      </c>
      <c r="F216" t="s">
        <v>46</v>
      </c>
      <c r="G216" t="s">
        <v>56</v>
      </c>
      <c r="H216" t="s">
        <v>59</v>
      </c>
      <c r="I216" t="s">
        <v>61</v>
      </c>
      <c r="J216" t="s">
        <v>70</v>
      </c>
      <c r="K216" t="s">
        <v>90</v>
      </c>
      <c r="L216">
        <v>128.80000000000001</v>
      </c>
      <c r="M216">
        <v>83</v>
      </c>
      <c r="N216">
        <v>10690.4</v>
      </c>
    </row>
    <row r="217" spans="1:14" x14ac:dyDescent="0.25">
      <c r="A217">
        <v>219</v>
      </c>
      <c r="B217" s="2">
        <v>45426</v>
      </c>
      <c r="C217">
        <v>6045555436</v>
      </c>
      <c r="D217" t="s">
        <v>22</v>
      </c>
      <c r="E217" t="s">
        <v>38</v>
      </c>
      <c r="F217" t="s">
        <v>38</v>
      </c>
      <c r="G217" t="s">
        <v>55</v>
      </c>
      <c r="H217" t="s">
        <v>60</v>
      </c>
      <c r="I217" t="s">
        <v>63</v>
      </c>
      <c r="J217" t="s">
        <v>65</v>
      </c>
      <c r="K217" t="s">
        <v>89</v>
      </c>
      <c r="L217">
        <v>49</v>
      </c>
      <c r="M217">
        <v>91</v>
      </c>
      <c r="N217">
        <v>4459</v>
      </c>
    </row>
    <row r="218" spans="1:14" x14ac:dyDescent="0.25">
      <c r="A218">
        <v>220</v>
      </c>
      <c r="B218" s="2">
        <v>45578</v>
      </c>
      <c r="C218">
        <v>4985084204</v>
      </c>
      <c r="D218" t="s">
        <v>22</v>
      </c>
      <c r="E218" t="s">
        <v>38</v>
      </c>
      <c r="F218" t="s">
        <v>38</v>
      </c>
      <c r="G218" t="s">
        <v>55</v>
      </c>
      <c r="H218" t="s">
        <v>60</v>
      </c>
      <c r="I218" t="s">
        <v>61</v>
      </c>
      <c r="J218" t="s">
        <v>74</v>
      </c>
      <c r="K218" t="s">
        <v>88</v>
      </c>
      <c r="L218">
        <v>41.86</v>
      </c>
      <c r="M218">
        <v>64</v>
      </c>
      <c r="N218">
        <v>2679.04</v>
      </c>
    </row>
    <row r="219" spans="1:14" x14ac:dyDescent="0.25">
      <c r="A219">
        <v>221</v>
      </c>
      <c r="B219" s="2">
        <v>45480</v>
      </c>
      <c r="C219">
        <v>8950774476</v>
      </c>
      <c r="D219" t="s">
        <v>23</v>
      </c>
      <c r="E219" t="s">
        <v>39</v>
      </c>
      <c r="F219" t="s">
        <v>48</v>
      </c>
      <c r="G219" t="s">
        <v>52</v>
      </c>
      <c r="H219" t="s">
        <v>59</v>
      </c>
      <c r="I219" t="s">
        <v>63</v>
      </c>
      <c r="J219" t="s">
        <v>68</v>
      </c>
      <c r="K219" t="s">
        <v>88</v>
      </c>
      <c r="L219">
        <v>252</v>
      </c>
      <c r="M219">
        <v>58</v>
      </c>
      <c r="N219">
        <v>14616</v>
      </c>
    </row>
    <row r="220" spans="1:14" x14ac:dyDescent="0.25">
      <c r="A220">
        <v>222</v>
      </c>
      <c r="B220" s="2">
        <v>45438</v>
      </c>
      <c r="C220">
        <v>4091794218</v>
      </c>
      <c r="D220" t="s">
        <v>23</v>
      </c>
      <c r="E220" t="s">
        <v>39</v>
      </c>
      <c r="F220" t="s">
        <v>48</v>
      </c>
      <c r="G220" t="s">
        <v>52</v>
      </c>
      <c r="H220" t="s">
        <v>58</v>
      </c>
      <c r="I220" t="s">
        <v>62</v>
      </c>
      <c r="J220" t="s">
        <v>69</v>
      </c>
      <c r="K220" t="s">
        <v>88</v>
      </c>
      <c r="L220">
        <v>644</v>
      </c>
      <c r="M220">
        <v>97</v>
      </c>
      <c r="N220">
        <v>62468</v>
      </c>
    </row>
    <row r="221" spans="1:14" x14ac:dyDescent="0.25">
      <c r="A221">
        <v>223</v>
      </c>
      <c r="B221" s="2">
        <v>45504</v>
      </c>
      <c r="C221">
        <v>2789876793</v>
      </c>
      <c r="D221" t="s">
        <v>23</v>
      </c>
      <c r="E221" t="s">
        <v>39</v>
      </c>
      <c r="F221" t="s">
        <v>48</v>
      </c>
      <c r="G221" t="s">
        <v>52</v>
      </c>
      <c r="H221" t="s">
        <v>58</v>
      </c>
      <c r="I221" t="s">
        <v>62</v>
      </c>
      <c r="J221" t="s">
        <v>74</v>
      </c>
      <c r="K221" t="s">
        <v>88</v>
      </c>
      <c r="L221">
        <v>41.86</v>
      </c>
      <c r="M221">
        <v>14</v>
      </c>
      <c r="N221">
        <v>586.04</v>
      </c>
    </row>
    <row r="222" spans="1:14" x14ac:dyDescent="0.25">
      <c r="A222">
        <v>224</v>
      </c>
      <c r="B222" s="2">
        <v>45401</v>
      </c>
      <c r="C222">
        <v>4338385582</v>
      </c>
      <c r="D222" t="s">
        <v>20</v>
      </c>
      <c r="E222" t="s">
        <v>35</v>
      </c>
      <c r="F222" t="s">
        <v>45</v>
      </c>
      <c r="G222" t="s">
        <v>55</v>
      </c>
      <c r="H222" t="s">
        <v>60</v>
      </c>
      <c r="I222" t="s">
        <v>62</v>
      </c>
      <c r="J222" t="s">
        <v>72</v>
      </c>
      <c r="K222" t="s">
        <v>92</v>
      </c>
      <c r="L222">
        <v>135.1</v>
      </c>
      <c r="M222">
        <v>68</v>
      </c>
      <c r="N222">
        <v>9186.7999999999993</v>
      </c>
    </row>
    <row r="223" spans="1:14" x14ac:dyDescent="0.25">
      <c r="A223">
        <v>225</v>
      </c>
      <c r="B223" s="2">
        <v>45469</v>
      </c>
      <c r="C223">
        <v>9159410824</v>
      </c>
      <c r="D223" t="s">
        <v>20</v>
      </c>
      <c r="E223" t="s">
        <v>35</v>
      </c>
      <c r="F223" t="s">
        <v>45</v>
      </c>
      <c r="G223" t="s">
        <v>55</v>
      </c>
      <c r="H223" t="s">
        <v>60</v>
      </c>
      <c r="I223" t="s">
        <v>62</v>
      </c>
      <c r="J223" t="s">
        <v>77</v>
      </c>
      <c r="K223" t="s">
        <v>96</v>
      </c>
      <c r="L223">
        <v>257.60000000000002</v>
      </c>
      <c r="M223">
        <v>32</v>
      </c>
      <c r="N223">
        <v>8243.1999999999989</v>
      </c>
    </row>
    <row r="224" spans="1:14" x14ac:dyDescent="0.25">
      <c r="A224">
        <v>226</v>
      </c>
      <c r="B224" s="2">
        <v>45629</v>
      </c>
      <c r="C224">
        <v>6562657766</v>
      </c>
      <c r="D224" t="s">
        <v>24</v>
      </c>
      <c r="E224" t="s">
        <v>32</v>
      </c>
      <c r="F224" t="s">
        <v>43</v>
      </c>
      <c r="G224" t="s">
        <v>57</v>
      </c>
      <c r="H224" t="s">
        <v>59</v>
      </c>
      <c r="I224" t="s">
        <v>61</v>
      </c>
      <c r="J224" t="s">
        <v>78</v>
      </c>
      <c r="K224" t="s">
        <v>97</v>
      </c>
      <c r="L224">
        <v>273</v>
      </c>
      <c r="M224">
        <v>48</v>
      </c>
      <c r="N224">
        <v>13104</v>
      </c>
    </row>
    <row r="225" spans="1:14" x14ac:dyDescent="0.25">
      <c r="A225">
        <v>227</v>
      </c>
      <c r="B225" s="2">
        <v>45638</v>
      </c>
      <c r="C225">
        <v>4160634865</v>
      </c>
      <c r="D225" t="s">
        <v>24</v>
      </c>
      <c r="E225" t="s">
        <v>32</v>
      </c>
      <c r="F225" t="s">
        <v>43</v>
      </c>
      <c r="G225" t="s">
        <v>57</v>
      </c>
      <c r="H225" t="s">
        <v>59</v>
      </c>
      <c r="I225" t="s">
        <v>61</v>
      </c>
      <c r="J225" t="s">
        <v>79</v>
      </c>
      <c r="K225" t="s">
        <v>98</v>
      </c>
      <c r="L225">
        <v>487.19999999999987</v>
      </c>
      <c r="M225">
        <v>57</v>
      </c>
      <c r="N225">
        <v>27770.400000000001</v>
      </c>
    </row>
    <row r="226" spans="1:14" x14ac:dyDescent="0.25">
      <c r="A226">
        <v>228</v>
      </c>
      <c r="B226" s="2">
        <v>45325</v>
      </c>
      <c r="C226">
        <v>142416687</v>
      </c>
      <c r="D226" t="s">
        <v>19</v>
      </c>
      <c r="E226" t="s">
        <v>34</v>
      </c>
      <c r="F226" t="s">
        <v>44</v>
      </c>
      <c r="G226" t="s">
        <v>54</v>
      </c>
      <c r="H226" t="s">
        <v>58</v>
      </c>
      <c r="I226" t="s">
        <v>62</v>
      </c>
      <c r="J226" t="s">
        <v>64</v>
      </c>
      <c r="K226" t="s">
        <v>88</v>
      </c>
      <c r="L226">
        <v>196</v>
      </c>
      <c r="M226">
        <v>67</v>
      </c>
      <c r="N226">
        <v>13132</v>
      </c>
    </row>
    <row r="227" spans="1:14" x14ac:dyDescent="0.25">
      <c r="A227">
        <v>229</v>
      </c>
      <c r="B227" s="2">
        <v>45348</v>
      </c>
      <c r="C227">
        <v>6114991349</v>
      </c>
      <c r="D227" t="s">
        <v>17</v>
      </c>
      <c r="E227" t="s">
        <v>31</v>
      </c>
      <c r="F227" t="s">
        <v>42</v>
      </c>
      <c r="G227" t="s">
        <v>52</v>
      </c>
      <c r="H227" t="s">
        <v>58</v>
      </c>
      <c r="I227" t="s">
        <v>61</v>
      </c>
      <c r="J227" t="s">
        <v>73</v>
      </c>
      <c r="K227" t="s">
        <v>93</v>
      </c>
      <c r="L227">
        <v>560</v>
      </c>
      <c r="M227">
        <v>48</v>
      </c>
      <c r="N227">
        <v>26880</v>
      </c>
    </row>
    <row r="228" spans="1:14" x14ac:dyDescent="0.25">
      <c r="A228">
        <v>230</v>
      </c>
      <c r="B228" s="2">
        <v>45386</v>
      </c>
      <c r="C228">
        <v>6472352060</v>
      </c>
      <c r="D228" t="s">
        <v>17</v>
      </c>
      <c r="E228" t="s">
        <v>31</v>
      </c>
      <c r="F228" t="s">
        <v>42</v>
      </c>
      <c r="G228" t="s">
        <v>52</v>
      </c>
      <c r="H228" t="s">
        <v>58</v>
      </c>
      <c r="I228" t="s">
        <v>61</v>
      </c>
      <c r="J228" t="s">
        <v>70</v>
      </c>
      <c r="K228" t="s">
        <v>90</v>
      </c>
      <c r="L228">
        <v>128.80000000000001</v>
      </c>
      <c r="M228">
        <v>77</v>
      </c>
      <c r="N228">
        <v>9917.5999999999985</v>
      </c>
    </row>
    <row r="229" spans="1:14" x14ac:dyDescent="0.25">
      <c r="A229">
        <v>231</v>
      </c>
      <c r="B229" s="2">
        <v>45403</v>
      </c>
      <c r="C229">
        <v>5399077795</v>
      </c>
      <c r="D229" t="s">
        <v>26</v>
      </c>
      <c r="E229" t="s">
        <v>36</v>
      </c>
      <c r="F229" t="s">
        <v>46</v>
      </c>
      <c r="G229" t="s">
        <v>56</v>
      </c>
      <c r="H229" t="s">
        <v>59</v>
      </c>
      <c r="I229" t="s">
        <v>63</v>
      </c>
      <c r="J229" t="s">
        <v>83</v>
      </c>
      <c r="K229" t="s">
        <v>90</v>
      </c>
      <c r="L229">
        <v>140</v>
      </c>
      <c r="M229">
        <v>94</v>
      </c>
      <c r="N229">
        <v>13223</v>
      </c>
    </row>
    <row r="230" spans="1:14" x14ac:dyDescent="0.25">
      <c r="A230">
        <v>232</v>
      </c>
      <c r="B230" s="2">
        <v>45540</v>
      </c>
      <c r="C230">
        <v>6275645168</v>
      </c>
      <c r="D230" t="s">
        <v>27</v>
      </c>
      <c r="E230" t="s">
        <v>38</v>
      </c>
      <c r="F230" t="s">
        <v>38</v>
      </c>
      <c r="G230" t="s">
        <v>55</v>
      </c>
      <c r="H230" t="s">
        <v>60</v>
      </c>
      <c r="I230" t="s">
        <v>62</v>
      </c>
      <c r="J230" t="s">
        <v>84</v>
      </c>
      <c r="K230" t="s">
        <v>100</v>
      </c>
      <c r="L230">
        <v>298.89999999999998</v>
      </c>
      <c r="M230">
        <v>54</v>
      </c>
      <c r="N230">
        <v>16140.6</v>
      </c>
    </row>
    <row r="231" spans="1:14" x14ac:dyDescent="0.25">
      <c r="A231">
        <v>233</v>
      </c>
      <c r="B231" s="2">
        <v>45343</v>
      </c>
      <c r="C231">
        <v>597069969</v>
      </c>
      <c r="D231" t="s">
        <v>27</v>
      </c>
      <c r="E231" t="s">
        <v>38</v>
      </c>
      <c r="F231" t="s">
        <v>38</v>
      </c>
      <c r="G231" t="s">
        <v>55</v>
      </c>
      <c r="H231" t="s">
        <v>60</v>
      </c>
      <c r="I231" t="s">
        <v>62</v>
      </c>
      <c r="J231" t="s">
        <v>72</v>
      </c>
      <c r="K231" t="s">
        <v>92</v>
      </c>
      <c r="L231">
        <v>135.1</v>
      </c>
      <c r="M231">
        <v>43</v>
      </c>
      <c r="N231">
        <v>5809.3</v>
      </c>
    </row>
    <row r="232" spans="1:14" x14ac:dyDescent="0.25">
      <c r="A232">
        <v>234</v>
      </c>
      <c r="B232" s="2">
        <v>45635</v>
      </c>
      <c r="C232">
        <v>1323169656</v>
      </c>
      <c r="D232" t="s">
        <v>27</v>
      </c>
      <c r="E232" t="s">
        <v>38</v>
      </c>
      <c r="F232" t="s">
        <v>38</v>
      </c>
      <c r="G232" t="s">
        <v>55</v>
      </c>
      <c r="H232" t="s">
        <v>60</v>
      </c>
      <c r="I232" t="s">
        <v>62</v>
      </c>
      <c r="J232" t="s">
        <v>77</v>
      </c>
      <c r="K232" t="s">
        <v>96</v>
      </c>
      <c r="L232">
        <v>257.60000000000002</v>
      </c>
      <c r="M232">
        <v>71</v>
      </c>
      <c r="N232">
        <v>18289.599999999999</v>
      </c>
    </row>
    <row r="233" spans="1:14" x14ac:dyDescent="0.25">
      <c r="A233">
        <v>235</v>
      </c>
      <c r="B233" s="2">
        <v>45603</v>
      </c>
      <c r="C233">
        <v>2932971142</v>
      </c>
      <c r="D233" t="s">
        <v>18</v>
      </c>
      <c r="E233" t="s">
        <v>32</v>
      </c>
      <c r="F233" t="s">
        <v>43</v>
      </c>
      <c r="G233" t="s">
        <v>53</v>
      </c>
      <c r="H233" t="s">
        <v>58</v>
      </c>
      <c r="I233" t="s">
        <v>61</v>
      </c>
      <c r="J233" t="s">
        <v>64</v>
      </c>
      <c r="K233" t="s">
        <v>88</v>
      </c>
      <c r="L233">
        <v>196</v>
      </c>
      <c r="M233">
        <v>50</v>
      </c>
      <c r="N233">
        <v>9800</v>
      </c>
    </row>
    <row r="234" spans="1:14" x14ac:dyDescent="0.25">
      <c r="A234">
        <v>236</v>
      </c>
      <c r="B234" s="2">
        <v>45613</v>
      </c>
      <c r="C234">
        <v>3634141900</v>
      </c>
      <c r="D234" t="s">
        <v>19</v>
      </c>
      <c r="E234" t="s">
        <v>34</v>
      </c>
      <c r="F234" t="s">
        <v>44</v>
      </c>
      <c r="G234" t="s">
        <v>54</v>
      </c>
      <c r="H234" t="s">
        <v>60</v>
      </c>
      <c r="I234" t="s">
        <v>61</v>
      </c>
      <c r="J234" t="s">
        <v>71</v>
      </c>
      <c r="K234" t="s">
        <v>91</v>
      </c>
      <c r="L234">
        <v>178.5</v>
      </c>
      <c r="M234">
        <v>96</v>
      </c>
      <c r="N234">
        <v>17136</v>
      </c>
    </row>
    <row r="235" spans="1:14" x14ac:dyDescent="0.25">
      <c r="A235">
        <v>237</v>
      </c>
      <c r="B235" s="2">
        <v>45387</v>
      </c>
      <c r="C235">
        <v>8872627168</v>
      </c>
      <c r="D235" t="s">
        <v>15</v>
      </c>
      <c r="E235" t="s">
        <v>30</v>
      </c>
      <c r="F235" t="s">
        <v>41</v>
      </c>
      <c r="G235" t="s">
        <v>51</v>
      </c>
      <c r="H235" t="s">
        <v>59</v>
      </c>
      <c r="I235" t="s">
        <v>62</v>
      </c>
      <c r="J235" t="s">
        <v>85</v>
      </c>
      <c r="K235" t="s">
        <v>94</v>
      </c>
      <c r="L235">
        <v>1134</v>
      </c>
      <c r="M235">
        <v>54</v>
      </c>
      <c r="N235">
        <v>61236</v>
      </c>
    </row>
    <row r="236" spans="1:14" x14ac:dyDescent="0.25">
      <c r="A236">
        <v>238</v>
      </c>
      <c r="B236" s="2">
        <v>45310</v>
      </c>
      <c r="C236">
        <v>5571010485</v>
      </c>
      <c r="D236" t="s">
        <v>15</v>
      </c>
      <c r="E236" t="s">
        <v>30</v>
      </c>
      <c r="F236" t="s">
        <v>41</v>
      </c>
      <c r="G236" t="s">
        <v>51</v>
      </c>
      <c r="H236" t="s">
        <v>59</v>
      </c>
      <c r="I236" t="s">
        <v>62</v>
      </c>
      <c r="J236" t="s">
        <v>86</v>
      </c>
      <c r="K236" t="s">
        <v>101</v>
      </c>
      <c r="L236">
        <v>98</v>
      </c>
      <c r="M236">
        <v>39</v>
      </c>
      <c r="N236">
        <v>3822</v>
      </c>
    </row>
    <row r="237" spans="1:14" x14ac:dyDescent="0.25">
      <c r="A237">
        <v>239</v>
      </c>
      <c r="B237" s="2">
        <v>45437</v>
      </c>
      <c r="C237">
        <v>7703467924</v>
      </c>
      <c r="D237" t="s">
        <v>17</v>
      </c>
      <c r="E237" t="s">
        <v>31</v>
      </c>
      <c r="F237" t="s">
        <v>42</v>
      </c>
      <c r="G237" t="s">
        <v>52</v>
      </c>
      <c r="H237" t="s">
        <v>60</v>
      </c>
      <c r="I237" t="s">
        <v>62</v>
      </c>
      <c r="J237" t="s">
        <v>79</v>
      </c>
      <c r="K237" t="s">
        <v>98</v>
      </c>
      <c r="L237">
        <v>487.19999999999987</v>
      </c>
      <c r="M237">
        <v>63</v>
      </c>
      <c r="N237">
        <v>30693.599999999991</v>
      </c>
    </row>
    <row r="238" spans="1:14" x14ac:dyDescent="0.25">
      <c r="A238">
        <v>240</v>
      </c>
      <c r="B238" s="2">
        <v>45305</v>
      </c>
      <c r="C238">
        <v>7747820326</v>
      </c>
      <c r="D238" t="s">
        <v>25</v>
      </c>
      <c r="E238" t="s">
        <v>33</v>
      </c>
      <c r="F238" t="s">
        <v>49</v>
      </c>
      <c r="G238" t="s">
        <v>50</v>
      </c>
      <c r="H238" t="s">
        <v>58</v>
      </c>
      <c r="I238" t="s">
        <v>63</v>
      </c>
      <c r="J238" t="s">
        <v>87</v>
      </c>
      <c r="K238" t="s">
        <v>95</v>
      </c>
      <c r="L238">
        <v>140</v>
      </c>
      <c r="M238">
        <v>71</v>
      </c>
      <c r="N238">
        <v>9940</v>
      </c>
    </row>
    <row r="239" spans="1:14" x14ac:dyDescent="0.25">
      <c r="A239">
        <v>241</v>
      </c>
      <c r="B239" s="2">
        <v>45319</v>
      </c>
      <c r="C239">
        <v>5769101754</v>
      </c>
      <c r="D239" t="s">
        <v>25</v>
      </c>
      <c r="E239" t="s">
        <v>33</v>
      </c>
      <c r="F239" t="s">
        <v>49</v>
      </c>
      <c r="G239" t="s">
        <v>50</v>
      </c>
      <c r="H239" t="s">
        <v>58</v>
      </c>
      <c r="I239" t="s">
        <v>63</v>
      </c>
      <c r="J239" t="s">
        <v>73</v>
      </c>
      <c r="K239" t="s">
        <v>93</v>
      </c>
      <c r="L239">
        <v>560</v>
      </c>
      <c r="M239">
        <v>88</v>
      </c>
      <c r="N239">
        <v>49280</v>
      </c>
    </row>
    <row r="240" spans="1:14" x14ac:dyDescent="0.25">
      <c r="A240">
        <v>242</v>
      </c>
      <c r="B240" s="2">
        <v>45352</v>
      </c>
      <c r="C240">
        <v>7427615835</v>
      </c>
      <c r="D240" t="s">
        <v>21</v>
      </c>
      <c r="E240" t="s">
        <v>36</v>
      </c>
      <c r="F240" t="s">
        <v>46</v>
      </c>
      <c r="G240" t="s">
        <v>56</v>
      </c>
      <c r="H240" t="s">
        <v>58</v>
      </c>
      <c r="I240" t="s">
        <v>62</v>
      </c>
      <c r="J240" t="s">
        <v>80</v>
      </c>
      <c r="K240" t="s">
        <v>89</v>
      </c>
      <c r="L240">
        <v>140</v>
      </c>
      <c r="M240">
        <v>59</v>
      </c>
      <c r="N240">
        <v>8260</v>
      </c>
    </row>
    <row r="241" spans="1:14" x14ac:dyDescent="0.25">
      <c r="A241">
        <v>243</v>
      </c>
      <c r="B241" s="2">
        <v>45445</v>
      </c>
      <c r="C241">
        <v>242336558</v>
      </c>
      <c r="D241" t="s">
        <v>19</v>
      </c>
      <c r="E241" t="s">
        <v>34</v>
      </c>
      <c r="F241" t="s">
        <v>44</v>
      </c>
      <c r="G241" t="s">
        <v>54</v>
      </c>
      <c r="H241" t="s">
        <v>58</v>
      </c>
      <c r="I241" t="s">
        <v>62</v>
      </c>
      <c r="J241" t="s">
        <v>73</v>
      </c>
      <c r="K241" t="s">
        <v>93</v>
      </c>
      <c r="L241">
        <v>560</v>
      </c>
      <c r="M241">
        <v>94</v>
      </c>
      <c r="N241">
        <v>52640</v>
      </c>
    </row>
    <row r="242" spans="1:14" x14ac:dyDescent="0.25">
      <c r="A242">
        <v>244</v>
      </c>
      <c r="B242" s="2">
        <v>45559</v>
      </c>
      <c r="C242">
        <v>2520819737</v>
      </c>
      <c r="D242" t="s">
        <v>20</v>
      </c>
      <c r="E242" t="s">
        <v>35</v>
      </c>
      <c r="F242" t="s">
        <v>45</v>
      </c>
      <c r="G242" t="s">
        <v>55</v>
      </c>
      <c r="H242" t="s">
        <v>60</v>
      </c>
      <c r="I242" t="s">
        <v>61</v>
      </c>
      <c r="J242" t="s">
        <v>69</v>
      </c>
      <c r="K242" t="s">
        <v>88</v>
      </c>
      <c r="L242">
        <v>644</v>
      </c>
      <c r="M242">
        <v>86</v>
      </c>
      <c r="N242">
        <v>55384</v>
      </c>
    </row>
    <row r="243" spans="1:14" x14ac:dyDescent="0.25">
      <c r="A243">
        <v>245</v>
      </c>
      <c r="B243" s="2">
        <v>45449</v>
      </c>
      <c r="C243">
        <v>8828389188</v>
      </c>
      <c r="D243" t="s">
        <v>17</v>
      </c>
      <c r="E243" t="s">
        <v>31</v>
      </c>
      <c r="F243" t="s">
        <v>42</v>
      </c>
      <c r="G243" t="s">
        <v>52</v>
      </c>
      <c r="H243" t="s">
        <v>60</v>
      </c>
      <c r="I243" t="s">
        <v>61</v>
      </c>
      <c r="J243" t="s">
        <v>71</v>
      </c>
      <c r="K243" t="s">
        <v>91</v>
      </c>
      <c r="L243">
        <v>178.5</v>
      </c>
      <c r="M243">
        <v>61</v>
      </c>
      <c r="N243">
        <v>10888.5</v>
      </c>
    </row>
    <row r="244" spans="1:14" x14ac:dyDescent="0.25">
      <c r="A244">
        <v>246</v>
      </c>
      <c r="B244" s="2">
        <v>45556</v>
      </c>
      <c r="C244">
        <v>164422904</v>
      </c>
      <c r="D244" t="s">
        <v>21</v>
      </c>
      <c r="E244" t="s">
        <v>36</v>
      </c>
      <c r="F244" t="s">
        <v>46</v>
      </c>
      <c r="G244" t="s">
        <v>56</v>
      </c>
      <c r="H244" t="s">
        <v>58</v>
      </c>
      <c r="I244" t="s">
        <v>62</v>
      </c>
      <c r="J244" t="s">
        <v>74</v>
      </c>
      <c r="K244" t="s">
        <v>88</v>
      </c>
      <c r="L244">
        <v>41.86</v>
      </c>
      <c r="M244">
        <v>32</v>
      </c>
      <c r="N244">
        <v>1339.52</v>
      </c>
    </row>
    <row r="245" spans="1:14" x14ac:dyDescent="0.25">
      <c r="A245">
        <v>247</v>
      </c>
      <c r="B245" s="2">
        <v>45331</v>
      </c>
      <c r="C245">
        <v>7991995786</v>
      </c>
      <c r="D245" t="s">
        <v>28</v>
      </c>
      <c r="E245" t="s">
        <v>37</v>
      </c>
      <c r="F245" t="s">
        <v>47</v>
      </c>
      <c r="G245" t="s">
        <v>52</v>
      </c>
      <c r="H245" t="s">
        <v>59</v>
      </c>
      <c r="I245" t="s">
        <v>63</v>
      </c>
      <c r="J245" t="s">
        <v>69</v>
      </c>
      <c r="K245" t="s">
        <v>88</v>
      </c>
      <c r="L245">
        <v>644</v>
      </c>
      <c r="M245">
        <v>62</v>
      </c>
      <c r="N245">
        <v>39928</v>
      </c>
    </row>
    <row r="246" spans="1:14" x14ac:dyDescent="0.25">
      <c r="A246">
        <v>248</v>
      </c>
      <c r="B246" s="2">
        <v>45574</v>
      </c>
      <c r="C246">
        <v>4149364306</v>
      </c>
      <c r="D246" t="s">
        <v>21</v>
      </c>
      <c r="E246" t="s">
        <v>36</v>
      </c>
      <c r="F246" t="s">
        <v>46</v>
      </c>
      <c r="G246" t="s">
        <v>56</v>
      </c>
      <c r="H246" t="s">
        <v>59</v>
      </c>
      <c r="I246" t="s">
        <v>63</v>
      </c>
      <c r="J246" t="s">
        <v>75</v>
      </c>
      <c r="K246" t="s">
        <v>94</v>
      </c>
      <c r="L246">
        <v>350</v>
      </c>
      <c r="M246">
        <v>60</v>
      </c>
      <c r="N246">
        <v>21000</v>
      </c>
    </row>
    <row r="247" spans="1:14" x14ac:dyDescent="0.25">
      <c r="A247">
        <v>249</v>
      </c>
      <c r="B247" s="2">
        <v>45652</v>
      </c>
      <c r="C247">
        <v>6397472642</v>
      </c>
      <c r="D247" t="s">
        <v>21</v>
      </c>
      <c r="E247" t="s">
        <v>36</v>
      </c>
      <c r="F247" t="s">
        <v>46</v>
      </c>
      <c r="G247" t="s">
        <v>56</v>
      </c>
      <c r="H247" t="s">
        <v>59</v>
      </c>
      <c r="I247" t="s">
        <v>63</v>
      </c>
      <c r="J247" t="s">
        <v>76</v>
      </c>
      <c r="K247" t="s">
        <v>95</v>
      </c>
      <c r="L247">
        <v>308</v>
      </c>
      <c r="M247">
        <v>51</v>
      </c>
      <c r="N247">
        <v>15708</v>
      </c>
    </row>
    <row r="248" spans="1:14" x14ac:dyDescent="0.25">
      <c r="A248">
        <v>250</v>
      </c>
      <c r="B248" s="2">
        <v>45292</v>
      </c>
      <c r="C248">
        <v>1168651383</v>
      </c>
      <c r="D248" t="s">
        <v>21</v>
      </c>
      <c r="E248" t="s">
        <v>36</v>
      </c>
      <c r="F248" t="s">
        <v>46</v>
      </c>
      <c r="G248" t="s">
        <v>56</v>
      </c>
      <c r="H248" t="s">
        <v>59</v>
      </c>
      <c r="I248" t="s">
        <v>62</v>
      </c>
      <c r="J248" t="s">
        <v>70</v>
      </c>
      <c r="K248" t="s">
        <v>90</v>
      </c>
      <c r="L248">
        <v>128.80000000000001</v>
      </c>
      <c r="M248">
        <v>49</v>
      </c>
      <c r="N248">
        <v>6311.1999999999989</v>
      </c>
    </row>
    <row r="249" spans="1:14" x14ac:dyDescent="0.25">
      <c r="A249">
        <v>251</v>
      </c>
      <c r="B249" s="2">
        <v>45338</v>
      </c>
      <c r="C249">
        <v>1309311215</v>
      </c>
      <c r="D249" t="s">
        <v>22</v>
      </c>
      <c r="E249" t="s">
        <v>38</v>
      </c>
      <c r="F249" t="s">
        <v>38</v>
      </c>
      <c r="G249" t="s">
        <v>55</v>
      </c>
      <c r="H249" t="s">
        <v>60</v>
      </c>
      <c r="I249" t="s">
        <v>62</v>
      </c>
      <c r="J249" t="s">
        <v>65</v>
      </c>
      <c r="K249" t="s">
        <v>89</v>
      </c>
      <c r="L249">
        <v>49</v>
      </c>
      <c r="M249">
        <v>20</v>
      </c>
      <c r="N249">
        <v>980</v>
      </c>
    </row>
    <row r="250" spans="1:14" x14ac:dyDescent="0.25">
      <c r="A250">
        <v>252</v>
      </c>
      <c r="B250" s="2">
        <v>45461</v>
      </c>
      <c r="C250">
        <v>4552083877</v>
      </c>
      <c r="D250" t="s">
        <v>22</v>
      </c>
      <c r="E250" t="s">
        <v>38</v>
      </c>
      <c r="F250" t="s">
        <v>38</v>
      </c>
      <c r="G250" t="s">
        <v>55</v>
      </c>
      <c r="H250" t="s">
        <v>60</v>
      </c>
      <c r="I250" t="s">
        <v>62</v>
      </c>
      <c r="J250" t="s">
        <v>74</v>
      </c>
      <c r="K250" t="s">
        <v>88</v>
      </c>
      <c r="L250">
        <v>41.86</v>
      </c>
      <c r="M250">
        <v>49</v>
      </c>
      <c r="N250">
        <v>2051.14</v>
      </c>
    </row>
    <row r="251" spans="1:14" x14ac:dyDescent="0.25">
      <c r="A251">
        <v>253</v>
      </c>
      <c r="B251" s="2">
        <v>45367</v>
      </c>
      <c r="C251">
        <v>6119453494</v>
      </c>
      <c r="D251" t="s">
        <v>23</v>
      </c>
      <c r="E251" t="s">
        <v>39</v>
      </c>
      <c r="F251" t="s">
        <v>48</v>
      </c>
      <c r="G251" t="s">
        <v>52</v>
      </c>
      <c r="H251" t="s">
        <v>58</v>
      </c>
      <c r="I251" t="s">
        <v>61</v>
      </c>
      <c r="J251" t="s">
        <v>68</v>
      </c>
      <c r="K251" t="s">
        <v>88</v>
      </c>
      <c r="L251">
        <v>252</v>
      </c>
      <c r="M251">
        <v>22</v>
      </c>
      <c r="N251">
        <v>5544</v>
      </c>
    </row>
    <row r="252" spans="1:14" x14ac:dyDescent="0.25">
      <c r="A252">
        <v>254</v>
      </c>
      <c r="B252" s="2">
        <v>45316</v>
      </c>
      <c r="C252">
        <v>8815781249</v>
      </c>
      <c r="D252" t="s">
        <v>23</v>
      </c>
      <c r="E252" t="s">
        <v>39</v>
      </c>
      <c r="F252" t="s">
        <v>48</v>
      </c>
      <c r="G252" t="s">
        <v>52</v>
      </c>
      <c r="H252" t="s">
        <v>58</v>
      </c>
      <c r="I252" t="s">
        <v>61</v>
      </c>
      <c r="J252" t="s">
        <v>69</v>
      </c>
      <c r="K252" t="s">
        <v>88</v>
      </c>
      <c r="L252">
        <v>644</v>
      </c>
      <c r="M252">
        <v>73</v>
      </c>
      <c r="N252">
        <v>47012</v>
      </c>
    </row>
    <row r="253" spans="1:14" x14ac:dyDescent="0.25">
      <c r="A253">
        <v>255</v>
      </c>
      <c r="B253" s="2">
        <v>45445</v>
      </c>
      <c r="C253">
        <v>5308869510</v>
      </c>
      <c r="D253" t="s">
        <v>23</v>
      </c>
      <c r="E253" t="s">
        <v>39</v>
      </c>
      <c r="F253" t="s">
        <v>48</v>
      </c>
      <c r="G253" t="s">
        <v>52</v>
      </c>
      <c r="H253" t="s">
        <v>58</v>
      </c>
      <c r="I253" t="s">
        <v>61</v>
      </c>
      <c r="J253" t="s">
        <v>74</v>
      </c>
      <c r="K253" t="s">
        <v>88</v>
      </c>
      <c r="L253">
        <v>41.86</v>
      </c>
      <c r="M253">
        <v>85</v>
      </c>
      <c r="N253">
        <v>3558.1</v>
      </c>
    </row>
    <row r="254" spans="1:14" x14ac:dyDescent="0.25">
      <c r="A254">
        <v>256</v>
      </c>
      <c r="B254" s="2">
        <v>45604</v>
      </c>
      <c r="C254">
        <v>9623390930</v>
      </c>
      <c r="D254" t="s">
        <v>20</v>
      </c>
      <c r="E254" t="s">
        <v>35</v>
      </c>
      <c r="F254" t="s">
        <v>45</v>
      </c>
      <c r="G254" t="s">
        <v>55</v>
      </c>
      <c r="H254" t="s">
        <v>60</v>
      </c>
      <c r="I254" t="s">
        <v>62</v>
      </c>
      <c r="J254" t="s">
        <v>72</v>
      </c>
      <c r="K254" t="s">
        <v>92</v>
      </c>
      <c r="L254">
        <v>135.1</v>
      </c>
      <c r="M254">
        <v>44</v>
      </c>
      <c r="N254">
        <v>5944.4</v>
      </c>
    </row>
    <row r="255" spans="1:14" x14ac:dyDescent="0.25">
      <c r="A255">
        <v>257</v>
      </c>
      <c r="B255" s="2">
        <v>45319</v>
      </c>
      <c r="C255">
        <v>9925453816</v>
      </c>
      <c r="D255" t="s">
        <v>20</v>
      </c>
      <c r="E255" t="s">
        <v>35</v>
      </c>
      <c r="F255" t="s">
        <v>45</v>
      </c>
      <c r="G255" t="s">
        <v>55</v>
      </c>
      <c r="H255" t="s">
        <v>60</v>
      </c>
      <c r="I255" t="s">
        <v>62</v>
      </c>
      <c r="J255" t="s">
        <v>77</v>
      </c>
      <c r="K255" t="s">
        <v>96</v>
      </c>
      <c r="L255">
        <v>257.60000000000002</v>
      </c>
      <c r="M255">
        <v>24</v>
      </c>
      <c r="N255">
        <v>6182.4</v>
      </c>
    </row>
    <row r="256" spans="1:14" x14ac:dyDescent="0.25">
      <c r="A256">
        <v>258</v>
      </c>
      <c r="B256" s="2">
        <v>45629</v>
      </c>
      <c r="C256">
        <v>6948053333</v>
      </c>
      <c r="D256" t="s">
        <v>24</v>
      </c>
      <c r="E256" t="s">
        <v>32</v>
      </c>
      <c r="F256" t="s">
        <v>43</v>
      </c>
      <c r="G256" t="s">
        <v>57</v>
      </c>
      <c r="H256" t="s">
        <v>59</v>
      </c>
      <c r="I256" t="s">
        <v>61</v>
      </c>
      <c r="J256" t="s">
        <v>78</v>
      </c>
      <c r="K256" t="s">
        <v>97</v>
      </c>
      <c r="L256">
        <v>273</v>
      </c>
      <c r="M256">
        <v>64</v>
      </c>
      <c r="N256">
        <v>17472</v>
      </c>
    </row>
    <row r="257" spans="1:14" x14ac:dyDescent="0.25">
      <c r="A257">
        <v>259</v>
      </c>
      <c r="B257" s="2">
        <v>45499</v>
      </c>
      <c r="C257">
        <v>2060963898</v>
      </c>
      <c r="D257" t="s">
        <v>24</v>
      </c>
      <c r="E257" t="s">
        <v>32</v>
      </c>
      <c r="F257" t="s">
        <v>43</v>
      </c>
      <c r="G257" t="s">
        <v>57</v>
      </c>
      <c r="H257" t="s">
        <v>59</v>
      </c>
      <c r="I257" t="s">
        <v>61</v>
      </c>
      <c r="J257" t="s">
        <v>79</v>
      </c>
      <c r="K257" t="s">
        <v>98</v>
      </c>
      <c r="L257">
        <v>487.19999999999987</v>
      </c>
      <c r="M257">
        <v>70</v>
      </c>
      <c r="N257">
        <v>34103.999999999993</v>
      </c>
    </row>
    <row r="258" spans="1:14" x14ac:dyDescent="0.25">
      <c r="A258">
        <v>260</v>
      </c>
      <c r="B258" s="2">
        <v>45603</v>
      </c>
      <c r="C258">
        <v>2582781913</v>
      </c>
      <c r="D258" t="s">
        <v>19</v>
      </c>
      <c r="E258" t="s">
        <v>34</v>
      </c>
      <c r="F258" t="s">
        <v>44</v>
      </c>
      <c r="G258" t="s">
        <v>54</v>
      </c>
      <c r="H258" t="s">
        <v>58</v>
      </c>
      <c r="I258" t="s">
        <v>62</v>
      </c>
      <c r="J258" t="s">
        <v>64</v>
      </c>
      <c r="K258" t="s">
        <v>88</v>
      </c>
      <c r="L258">
        <v>196</v>
      </c>
      <c r="M258">
        <v>98</v>
      </c>
      <c r="N258">
        <v>19240</v>
      </c>
    </row>
    <row r="259" spans="1:14" x14ac:dyDescent="0.25">
      <c r="A259">
        <v>261</v>
      </c>
      <c r="B259" s="2">
        <v>45607</v>
      </c>
      <c r="C259">
        <v>2732649952</v>
      </c>
      <c r="D259" t="s">
        <v>17</v>
      </c>
      <c r="E259" t="s">
        <v>31</v>
      </c>
      <c r="F259" t="s">
        <v>42</v>
      </c>
      <c r="G259" t="s">
        <v>52</v>
      </c>
      <c r="H259" t="s">
        <v>58</v>
      </c>
      <c r="I259" t="s">
        <v>61</v>
      </c>
      <c r="J259" t="s">
        <v>73</v>
      </c>
      <c r="K259" t="s">
        <v>93</v>
      </c>
      <c r="L259">
        <v>560</v>
      </c>
      <c r="M259">
        <v>48</v>
      </c>
      <c r="N259">
        <v>26880</v>
      </c>
    </row>
    <row r="260" spans="1:14" x14ac:dyDescent="0.25">
      <c r="A260">
        <v>262</v>
      </c>
      <c r="B260" s="2">
        <v>45354</v>
      </c>
      <c r="C260">
        <v>4179453952</v>
      </c>
      <c r="D260" t="s">
        <v>17</v>
      </c>
      <c r="E260" t="s">
        <v>31</v>
      </c>
      <c r="F260" t="s">
        <v>42</v>
      </c>
      <c r="G260" t="s">
        <v>52</v>
      </c>
      <c r="H260" t="s">
        <v>58</v>
      </c>
      <c r="I260" t="s">
        <v>61</v>
      </c>
      <c r="J260" t="s">
        <v>70</v>
      </c>
      <c r="K260" t="s">
        <v>90</v>
      </c>
      <c r="L260">
        <v>128.80000000000001</v>
      </c>
      <c r="M260">
        <v>100</v>
      </c>
      <c r="N260">
        <v>12880</v>
      </c>
    </row>
    <row r="261" spans="1:14" x14ac:dyDescent="0.25">
      <c r="A261">
        <v>263</v>
      </c>
      <c r="B261" s="2">
        <v>45591</v>
      </c>
      <c r="C261">
        <v>4339665341</v>
      </c>
      <c r="D261" t="s">
        <v>26</v>
      </c>
      <c r="E261" t="s">
        <v>36</v>
      </c>
      <c r="F261" t="s">
        <v>46</v>
      </c>
      <c r="G261" t="s">
        <v>56</v>
      </c>
      <c r="H261" t="s">
        <v>59</v>
      </c>
      <c r="I261" t="s">
        <v>63</v>
      </c>
      <c r="J261" t="s">
        <v>83</v>
      </c>
      <c r="K261" t="s">
        <v>90</v>
      </c>
      <c r="L261">
        <v>140</v>
      </c>
      <c r="M261">
        <v>90</v>
      </c>
      <c r="N261">
        <v>12600</v>
      </c>
    </row>
    <row r="262" spans="1:14" x14ac:dyDescent="0.25">
      <c r="A262">
        <v>264</v>
      </c>
      <c r="B262" s="2">
        <v>45538</v>
      </c>
      <c r="C262">
        <v>9193900326</v>
      </c>
      <c r="D262" t="s">
        <v>27</v>
      </c>
      <c r="E262" t="s">
        <v>38</v>
      </c>
      <c r="F262" t="s">
        <v>38</v>
      </c>
      <c r="G262" t="s">
        <v>55</v>
      </c>
      <c r="H262" t="s">
        <v>60</v>
      </c>
      <c r="I262" t="s">
        <v>62</v>
      </c>
      <c r="J262" t="s">
        <v>84</v>
      </c>
      <c r="K262" t="s">
        <v>100</v>
      </c>
      <c r="L262">
        <v>298.89999999999998</v>
      </c>
      <c r="M262">
        <v>49</v>
      </c>
      <c r="N262">
        <v>14646.1</v>
      </c>
    </row>
    <row r="263" spans="1:14" x14ac:dyDescent="0.25">
      <c r="A263">
        <v>265</v>
      </c>
      <c r="B263" s="2">
        <v>45534</v>
      </c>
      <c r="C263">
        <v>7474169055</v>
      </c>
      <c r="D263" t="s">
        <v>27</v>
      </c>
      <c r="E263" t="s">
        <v>38</v>
      </c>
      <c r="F263" t="s">
        <v>38</v>
      </c>
      <c r="G263" t="s">
        <v>55</v>
      </c>
      <c r="H263" t="s">
        <v>60</v>
      </c>
      <c r="I263" t="s">
        <v>62</v>
      </c>
      <c r="J263" t="s">
        <v>72</v>
      </c>
      <c r="K263" t="s">
        <v>92</v>
      </c>
      <c r="L263">
        <v>135.1</v>
      </c>
      <c r="M263">
        <v>71</v>
      </c>
      <c r="N263">
        <v>9592.1</v>
      </c>
    </row>
    <row r="264" spans="1:14" x14ac:dyDescent="0.25">
      <c r="A264">
        <v>266</v>
      </c>
      <c r="B264" s="2">
        <v>45351</v>
      </c>
      <c r="C264">
        <v>9750138179</v>
      </c>
      <c r="D264" t="s">
        <v>27</v>
      </c>
      <c r="E264" t="s">
        <v>38</v>
      </c>
      <c r="F264" t="s">
        <v>38</v>
      </c>
      <c r="G264" t="s">
        <v>55</v>
      </c>
      <c r="H264" t="s">
        <v>60</v>
      </c>
      <c r="I264" t="s">
        <v>62</v>
      </c>
      <c r="J264" t="s">
        <v>77</v>
      </c>
      <c r="K264" t="s">
        <v>96</v>
      </c>
      <c r="L264">
        <v>257.60000000000002</v>
      </c>
      <c r="M264">
        <v>10</v>
      </c>
      <c r="N264">
        <v>2576</v>
      </c>
    </row>
    <row r="265" spans="1:14" x14ac:dyDescent="0.25">
      <c r="A265">
        <v>267</v>
      </c>
      <c r="B265" s="2">
        <v>45368</v>
      </c>
      <c r="C265">
        <v>2294414293</v>
      </c>
      <c r="D265" t="s">
        <v>18</v>
      </c>
      <c r="E265" t="s">
        <v>32</v>
      </c>
      <c r="F265" t="s">
        <v>43</v>
      </c>
      <c r="G265" t="s">
        <v>53</v>
      </c>
      <c r="H265" t="s">
        <v>58</v>
      </c>
      <c r="I265" t="s">
        <v>61</v>
      </c>
      <c r="J265" t="s">
        <v>64</v>
      </c>
      <c r="K265" t="s">
        <v>88</v>
      </c>
      <c r="L265">
        <v>196</v>
      </c>
      <c r="M265">
        <v>78</v>
      </c>
      <c r="N265">
        <v>15288</v>
      </c>
    </row>
    <row r="266" spans="1:14" x14ac:dyDescent="0.25">
      <c r="A266">
        <v>268</v>
      </c>
      <c r="B266" s="2">
        <v>45484</v>
      </c>
      <c r="C266">
        <v>776426288</v>
      </c>
      <c r="D266" t="s">
        <v>19</v>
      </c>
      <c r="E266" t="s">
        <v>34</v>
      </c>
      <c r="F266" t="s">
        <v>44</v>
      </c>
      <c r="G266" t="s">
        <v>54</v>
      </c>
      <c r="H266" t="s">
        <v>60</v>
      </c>
      <c r="I266" t="s">
        <v>61</v>
      </c>
      <c r="J266" t="s">
        <v>71</v>
      </c>
      <c r="K266" t="s">
        <v>91</v>
      </c>
      <c r="L266">
        <v>178.5</v>
      </c>
      <c r="M266">
        <v>44</v>
      </c>
      <c r="N266">
        <v>7854</v>
      </c>
    </row>
    <row r="267" spans="1:14" x14ac:dyDescent="0.25">
      <c r="A267">
        <v>269</v>
      </c>
      <c r="B267" s="2">
        <v>45570</v>
      </c>
      <c r="C267">
        <v>1245231958</v>
      </c>
      <c r="D267" t="s">
        <v>15</v>
      </c>
      <c r="E267" t="s">
        <v>30</v>
      </c>
      <c r="F267" t="s">
        <v>41</v>
      </c>
      <c r="G267" t="s">
        <v>51</v>
      </c>
      <c r="H267" t="s">
        <v>59</v>
      </c>
      <c r="I267" t="s">
        <v>62</v>
      </c>
      <c r="J267" t="s">
        <v>85</v>
      </c>
      <c r="K267" t="s">
        <v>94</v>
      </c>
      <c r="L267">
        <v>1134</v>
      </c>
      <c r="M267">
        <v>82</v>
      </c>
      <c r="N267">
        <v>92988</v>
      </c>
    </row>
    <row r="268" spans="1:14" x14ac:dyDescent="0.25">
      <c r="A268">
        <v>270</v>
      </c>
      <c r="B268" s="2">
        <v>45392</v>
      </c>
      <c r="C268">
        <v>2050724971</v>
      </c>
      <c r="D268" t="s">
        <v>15</v>
      </c>
      <c r="E268" t="s">
        <v>30</v>
      </c>
      <c r="F268" t="s">
        <v>41</v>
      </c>
      <c r="G268" t="s">
        <v>51</v>
      </c>
      <c r="H268" t="s">
        <v>59</v>
      </c>
      <c r="I268" t="s">
        <v>62</v>
      </c>
      <c r="J268" t="s">
        <v>86</v>
      </c>
      <c r="K268" t="s">
        <v>101</v>
      </c>
      <c r="L268">
        <v>98</v>
      </c>
      <c r="M268">
        <v>29</v>
      </c>
      <c r="N268">
        <v>2842</v>
      </c>
    </row>
    <row r="269" spans="1:14" x14ac:dyDescent="0.25">
      <c r="A269">
        <v>271</v>
      </c>
      <c r="B269" s="2">
        <v>45558</v>
      </c>
      <c r="C269">
        <v>9478104719</v>
      </c>
      <c r="D269" t="s">
        <v>17</v>
      </c>
      <c r="E269" t="s">
        <v>31</v>
      </c>
      <c r="F269" t="s">
        <v>42</v>
      </c>
      <c r="G269" t="s">
        <v>52</v>
      </c>
      <c r="H269" t="s">
        <v>60</v>
      </c>
      <c r="I269" t="s">
        <v>62</v>
      </c>
      <c r="J269" t="s">
        <v>79</v>
      </c>
      <c r="K269" t="s">
        <v>98</v>
      </c>
      <c r="L269">
        <v>487.19999999999987</v>
      </c>
      <c r="M269">
        <v>93</v>
      </c>
      <c r="N269">
        <v>45309.599999999991</v>
      </c>
    </row>
    <row r="270" spans="1:14" x14ac:dyDescent="0.25">
      <c r="A270">
        <v>272</v>
      </c>
      <c r="B270" s="2">
        <v>45592</v>
      </c>
      <c r="C270">
        <v>7620759943</v>
      </c>
      <c r="D270" t="s">
        <v>25</v>
      </c>
      <c r="E270" t="s">
        <v>33</v>
      </c>
      <c r="F270" t="s">
        <v>49</v>
      </c>
      <c r="G270" t="s">
        <v>50</v>
      </c>
      <c r="H270" t="s">
        <v>58</v>
      </c>
      <c r="I270" t="s">
        <v>63</v>
      </c>
      <c r="J270" t="s">
        <v>87</v>
      </c>
      <c r="K270" t="s">
        <v>95</v>
      </c>
      <c r="L270">
        <v>140</v>
      </c>
      <c r="M270">
        <v>11</v>
      </c>
      <c r="N270">
        <v>1540</v>
      </c>
    </row>
    <row r="271" spans="1:14" x14ac:dyDescent="0.25">
      <c r="A271">
        <v>273</v>
      </c>
      <c r="B271" s="2">
        <v>45634</v>
      </c>
      <c r="C271">
        <v>9345003575</v>
      </c>
      <c r="D271" t="s">
        <v>25</v>
      </c>
      <c r="E271" t="s">
        <v>33</v>
      </c>
      <c r="F271" t="s">
        <v>49</v>
      </c>
      <c r="G271" t="s">
        <v>50</v>
      </c>
      <c r="H271" t="s">
        <v>58</v>
      </c>
      <c r="I271" t="s">
        <v>63</v>
      </c>
      <c r="J271" t="s">
        <v>73</v>
      </c>
      <c r="K271" t="s">
        <v>93</v>
      </c>
      <c r="L271">
        <v>560</v>
      </c>
      <c r="M271">
        <v>91</v>
      </c>
      <c r="N271">
        <v>50960</v>
      </c>
    </row>
    <row r="272" spans="1:14" x14ac:dyDescent="0.25">
      <c r="A272">
        <v>274</v>
      </c>
      <c r="B272" s="2">
        <v>45584</v>
      </c>
      <c r="C272">
        <v>5988072690</v>
      </c>
      <c r="D272" t="s">
        <v>21</v>
      </c>
      <c r="E272" t="s">
        <v>36</v>
      </c>
      <c r="F272" t="s">
        <v>46</v>
      </c>
      <c r="G272" t="s">
        <v>56</v>
      </c>
      <c r="H272" t="s">
        <v>58</v>
      </c>
      <c r="I272" t="s">
        <v>62</v>
      </c>
      <c r="J272" t="s">
        <v>80</v>
      </c>
      <c r="K272" t="s">
        <v>89</v>
      </c>
      <c r="L272">
        <v>140</v>
      </c>
      <c r="M272">
        <v>12</v>
      </c>
      <c r="N272">
        <v>1680</v>
      </c>
    </row>
    <row r="273" spans="1:14" x14ac:dyDescent="0.25">
      <c r="A273">
        <v>275</v>
      </c>
      <c r="B273" s="2">
        <v>45489</v>
      </c>
      <c r="C273">
        <v>5113488625</v>
      </c>
      <c r="D273" t="s">
        <v>21</v>
      </c>
      <c r="E273" t="s">
        <v>36</v>
      </c>
      <c r="F273" t="s">
        <v>46</v>
      </c>
      <c r="G273" t="s">
        <v>56</v>
      </c>
      <c r="H273" t="s">
        <v>59</v>
      </c>
      <c r="I273" t="s">
        <v>63</v>
      </c>
      <c r="J273" t="s">
        <v>65</v>
      </c>
      <c r="K273" t="s">
        <v>89</v>
      </c>
      <c r="L273">
        <v>49</v>
      </c>
      <c r="M273">
        <v>78</v>
      </c>
      <c r="N273">
        <v>3822</v>
      </c>
    </row>
    <row r="274" spans="1:14" x14ac:dyDescent="0.25">
      <c r="A274">
        <v>276</v>
      </c>
      <c r="B274" s="2">
        <v>45376</v>
      </c>
      <c r="C274">
        <v>8021429259</v>
      </c>
      <c r="D274" t="s">
        <v>22</v>
      </c>
      <c r="E274" t="s">
        <v>38</v>
      </c>
      <c r="F274" t="s">
        <v>38</v>
      </c>
      <c r="G274" t="s">
        <v>55</v>
      </c>
      <c r="H274" t="s">
        <v>60</v>
      </c>
      <c r="I274" t="s">
        <v>63</v>
      </c>
      <c r="J274" t="s">
        <v>73</v>
      </c>
      <c r="K274" t="s">
        <v>93</v>
      </c>
      <c r="L274">
        <v>560</v>
      </c>
      <c r="M274">
        <v>60</v>
      </c>
      <c r="N274">
        <v>33600</v>
      </c>
    </row>
    <row r="275" spans="1:14" x14ac:dyDescent="0.25">
      <c r="A275">
        <v>277</v>
      </c>
      <c r="B275" s="2">
        <v>45367</v>
      </c>
      <c r="C275">
        <v>680211800</v>
      </c>
      <c r="D275" t="s">
        <v>23</v>
      </c>
      <c r="E275" t="s">
        <v>39</v>
      </c>
      <c r="F275" t="s">
        <v>48</v>
      </c>
      <c r="G275" t="s">
        <v>52</v>
      </c>
      <c r="H275" t="s">
        <v>60</v>
      </c>
      <c r="I275" t="s">
        <v>61</v>
      </c>
      <c r="J275" t="s">
        <v>77</v>
      </c>
      <c r="K275" t="s">
        <v>96</v>
      </c>
      <c r="L275">
        <v>257.60000000000002</v>
      </c>
      <c r="M275">
        <v>23</v>
      </c>
      <c r="N275">
        <v>5924.7999999999993</v>
      </c>
    </row>
    <row r="276" spans="1:14" x14ac:dyDescent="0.25">
      <c r="A276">
        <v>278</v>
      </c>
      <c r="B276" s="2">
        <v>45553</v>
      </c>
      <c r="C276">
        <v>2635806056</v>
      </c>
      <c r="D276" t="s">
        <v>20</v>
      </c>
      <c r="E276" t="s">
        <v>35</v>
      </c>
      <c r="F276" t="s">
        <v>45</v>
      </c>
      <c r="G276" t="s">
        <v>55</v>
      </c>
      <c r="H276" t="s">
        <v>60</v>
      </c>
      <c r="I276" t="s">
        <v>62</v>
      </c>
      <c r="J276" t="s">
        <v>69</v>
      </c>
      <c r="K276" t="s">
        <v>88</v>
      </c>
      <c r="L276">
        <v>644</v>
      </c>
      <c r="M276">
        <v>34</v>
      </c>
      <c r="N276">
        <v>21896</v>
      </c>
    </row>
    <row r="277" spans="1:14" x14ac:dyDescent="0.25">
      <c r="A277">
        <v>279</v>
      </c>
      <c r="B277" s="2">
        <v>45534</v>
      </c>
      <c r="C277">
        <v>3338515953</v>
      </c>
      <c r="D277" t="s">
        <v>24</v>
      </c>
      <c r="E277" t="s">
        <v>32</v>
      </c>
      <c r="F277" t="s">
        <v>43</v>
      </c>
      <c r="G277" t="s">
        <v>57</v>
      </c>
      <c r="H277" t="s">
        <v>59</v>
      </c>
      <c r="I277" t="s">
        <v>61</v>
      </c>
      <c r="J277" t="s">
        <v>72</v>
      </c>
      <c r="K277" t="s">
        <v>92</v>
      </c>
      <c r="L277">
        <v>135.1</v>
      </c>
      <c r="M277">
        <v>89</v>
      </c>
      <c r="N277">
        <v>12023.9</v>
      </c>
    </row>
    <row r="278" spans="1:14" x14ac:dyDescent="0.25">
      <c r="A278">
        <v>280</v>
      </c>
      <c r="B278" s="2">
        <v>45567</v>
      </c>
      <c r="C278">
        <v>3075758565</v>
      </c>
      <c r="D278" t="s">
        <v>19</v>
      </c>
      <c r="E278" t="s">
        <v>34</v>
      </c>
      <c r="F278" t="s">
        <v>44</v>
      </c>
      <c r="G278" t="s">
        <v>54</v>
      </c>
      <c r="H278" t="s">
        <v>58</v>
      </c>
      <c r="I278" t="s">
        <v>62</v>
      </c>
      <c r="J278" t="s">
        <v>71</v>
      </c>
      <c r="K278" t="s">
        <v>91</v>
      </c>
      <c r="L278">
        <v>178.5</v>
      </c>
      <c r="M278">
        <v>82</v>
      </c>
      <c r="N278">
        <v>14637</v>
      </c>
    </row>
    <row r="279" spans="1:14" x14ac:dyDescent="0.25">
      <c r="A279">
        <v>281</v>
      </c>
      <c r="B279" s="2">
        <v>45621</v>
      </c>
      <c r="C279">
        <v>5383209032</v>
      </c>
      <c r="D279" t="s">
        <v>17</v>
      </c>
      <c r="E279" t="s">
        <v>31</v>
      </c>
      <c r="F279" t="s">
        <v>42</v>
      </c>
      <c r="G279" t="s">
        <v>52</v>
      </c>
      <c r="H279" t="s">
        <v>58</v>
      </c>
      <c r="I279" t="s">
        <v>61</v>
      </c>
      <c r="J279" t="s">
        <v>71</v>
      </c>
      <c r="K279" t="s">
        <v>91</v>
      </c>
      <c r="L279">
        <v>178.5</v>
      </c>
      <c r="M279">
        <v>43</v>
      </c>
      <c r="N279">
        <v>7675.5</v>
      </c>
    </row>
    <row r="280" spans="1:14" x14ac:dyDescent="0.25">
      <c r="A280">
        <v>282</v>
      </c>
      <c r="B280" s="2">
        <v>45529</v>
      </c>
      <c r="C280">
        <v>9635546425</v>
      </c>
      <c r="D280" t="s">
        <v>21</v>
      </c>
      <c r="E280" t="s">
        <v>36</v>
      </c>
      <c r="F280" t="s">
        <v>46</v>
      </c>
      <c r="G280" t="s">
        <v>56</v>
      </c>
      <c r="H280" t="s">
        <v>59</v>
      </c>
      <c r="I280" t="s">
        <v>61</v>
      </c>
      <c r="J280" t="s">
        <v>76</v>
      </c>
      <c r="K280" t="s">
        <v>95</v>
      </c>
      <c r="L280">
        <v>308</v>
      </c>
      <c r="M280">
        <v>96</v>
      </c>
      <c r="N280">
        <v>29568</v>
      </c>
    </row>
    <row r="281" spans="1:14" x14ac:dyDescent="0.25">
      <c r="A281">
        <v>283</v>
      </c>
      <c r="B281" s="2">
        <v>45534</v>
      </c>
      <c r="C281">
        <v>3501364052</v>
      </c>
      <c r="D281" t="s">
        <v>21</v>
      </c>
      <c r="E281" t="s">
        <v>36</v>
      </c>
      <c r="F281" t="s">
        <v>46</v>
      </c>
      <c r="G281" t="s">
        <v>56</v>
      </c>
      <c r="H281" t="s">
        <v>59</v>
      </c>
      <c r="I281" t="s">
        <v>61</v>
      </c>
      <c r="J281" t="s">
        <v>70</v>
      </c>
      <c r="K281" t="s">
        <v>90</v>
      </c>
      <c r="L281">
        <v>128.80000000000001</v>
      </c>
      <c r="M281">
        <v>34</v>
      </c>
      <c r="N281">
        <v>4379.2</v>
      </c>
    </row>
    <row r="282" spans="1:14" x14ac:dyDescent="0.25">
      <c r="A282">
        <v>284</v>
      </c>
      <c r="B282" s="2">
        <v>45453</v>
      </c>
      <c r="C282">
        <v>2226825043</v>
      </c>
      <c r="D282" t="s">
        <v>22</v>
      </c>
      <c r="E282" t="s">
        <v>38</v>
      </c>
      <c r="F282" t="s">
        <v>38</v>
      </c>
      <c r="G282" t="s">
        <v>55</v>
      </c>
      <c r="H282" t="s">
        <v>60</v>
      </c>
      <c r="I282" t="s">
        <v>63</v>
      </c>
      <c r="J282" t="s">
        <v>65</v>
      </c>
      <c r="K282" t="s">
        <v>89</v>
      </c>
      <c r="L282">
        <v>49</v>
      </c>
      <c r="M282">
        <v>42</v>
      </c>
      <c r="N282">
        <v>2171</v>
      </c>
    </row>
    <row r="283" spans="1:14" x14ac:dyDescent="0.25">
      <c r="A283">
        <v>285</v>
      </c>
      <c r="B283" s="2">
        <v>45344</v>
      </c>
      <c r="C283">
        <v>6321323029</v>
      </c>
      <c r="D283" t="s">
        <v>22</v>
      </c>
      <c r="E283" t="s">
        <v>38</v>
      </c>
      <c r="F283" t="s">
        <v>38</v>
      </c>
      <c r="G283" t="s">
        <v>55</v>
      </c>
      <c r="H283" t="s">
        <v>60</v>
      </c>
      <c r="I283" t="s">
        <v>63</v>
      </c>
      <c r="J283" t="s">
        <v>74</v>
      </c>
      <c r="K283" t="s">
        <v>88</v>
      </c>
      <c r="L283">
        <v>41.86</v>
      </c>
      <c r="M283">
        <v>100</v>
      </c>
      <c r="N283">
        <v>4186</v>
      </c>
    </row>
    <row r="284" spans="1:14" x14ac:dyDescent="0.25">
      <c r="A284">
        <v>286</v>
      </c>
      <c r="B284" s="2">
        <v>45629</v>
      </c>
      <c r="C284">
        <v>3775524143</v>
      </c>
      <c r="D284" t="s">
        <v>23</v>
      </c>
      <c r="E284" t="s">
        <v>39</v>
      </c>
      <c r="F284" t="s">
        <v>48</v>
      </c>
      <c r="G284" t="s">
        <v>52</v>
      </c>
      <c r="H284" t="s">
        <v>59</v>
      </c>
      <c r="I284" t="s">
        <v>63</v>
      </c>
      <c r="J284" t="s">
        <v>68</v>
      </c>
      <c r="K284" t="s">
        <v>88</v>
      </c>
      <c r="L284">
        <v>252</v>
      </c>
      <c r="M284">
        <v>42</v>
      </c>
      <c r="N284">
        <v>10584</v>
      </c>
    </row>
    <row r="285" spans="1:14" x14ac:dyDescent="0.25">
      <c r="A285">
        <v>287</v>
      </c>
      <c r="B285" s="2">
        <v>45505</v>
      </c>
      <c r="C285">
        <v>9543041808</v>
      </c>
      <c r="D285" t="s">
        <v>23</v>
      </c>
      <c r="E285" t="s">
        <v>39</v>
      </c>
      <c r="F285" t="s">
        <v>48</v>
      </c>
      <c r="G285" t="s">
        <v>52</v>
      </c>
      <c r="H285" t="s">
        <v>59</v>
      </c>
      <c r="I285" t="s">
        <v>62</v>
      </c>
      <c r="J285" t="s">
        <v>69</v>
      </c>
      <c r="K285" t="s">
        <v>88</v>
      </c>
      <c r="L285">
        <v>644</v>
      </c>
      <c r="M285">
        <v>16</v>
      </c>
      <c r="N285">
        <v>10304</v>
      </c>
    </row>
    <row r="286" spans="1:14" x14ac:dyDescent="0.25">
      <c r="A286">
        <v>288</v>
      </c>
      <c r="B286" s="2">
        <v>45415</v>
      </c>
      <c r="C286">
        <v>547647770</v>
      </c>
      <c r="D286" t="s">
        <v>23</v>
      </c>
      <c r="E286" t="s">
        <v>39</v>
      </c>
      <c r="F286" t="s">
        <v>48</v>
      </c>
      <c r="G286" t="s">
        <v>52</v>
      </c>
      <c r="H286" t="s">
        <v>58</v>
      </c>
      <c r="I286" t="s">
        <v>62</v>
      </c>
      <c r="J286" t="s">
        <v>74</v>
      </c>
      <c r="K286" t="s">
        <v>88</v>
      </c>
      <c r="L286">
        <v>41.86</v>
      </c>
      <c r="M286">
        <v>22</v>
      </c>
      <c r="N286">
        <v>920.92</v>
      </c>
    </row>
    <row r="287" spans="1:14" x14ac:dyDescent="0.25">
      <c r="A287">
        <v>289</v>
      </c>
      <c r="B287" s="2">
        <v>45567</v>
      </c>
      <c r="C287">
        <v>7120228607</v>
      </c>
      <c r="D287" t="s">
        <v>20</v>
      </c>
      <c r="E287" t="s">
        <v>35</v>
      </c>
      <c r="F287" t="s">
        <v>45</v>
      </c>
      <c r="G287" t="s">
        <v>55</v>
      </c>
      <c r="H287" t="s">
        <v>60</v>
      </c>
      <c r="I287" t="s">
        <v>62</v>
      </c>
      <c r="J287" t="s">
        <v>72</v>
      </c>
      <c r="K287" t="s">
        <v>92</v>
      </c>
      <c r="L287">
        <v>135.1</v>
      </c>
      <c r="M287">
        <v>46</v>
      </c>
      <c r="N287">
        <v>6214.5999999999995</v>
      </c>
    </row>
    <row r="288" spans="1:14" x14ac:dyDescent="0.25">
      <c r="A288">
        <v>290</v>
      </c>
      <c r="B288" s="2">
        <v>45298</v>
      </c>
      <c r="C288">
        <v>5554565190</v>
      </c>
      <c r="D288" t="s">
        <v>20</v>
      </c>
      <c r="E288" t="s">
        <v>35</v>
      </c>
      <c r="F288" t="s">
        <v>45</v>
      </c>
      <c r="G288" t="s">
        <v>55</v>
      </c>
      <c r="H288" t="s">
        <v>60</v>
      </c>
      <c r="I288" t="s">
        <v>62</v>
      </c>
      <c r="J288" t="s">
        <v>77</v>
      </c>
      <c r="K288" t="s">
        <v>96</v>
      </c>
      <c r="L288">
        <v>257.60000000000002</v>
      </c>
      <c r="M288">
        <v>100</v>
      </c>
      <c r="N288">
        <v>25760</v>
      </c>
    </row>
    <row r="289" spans="1:14" x14ac:dyDescent="0.25">
      <c r="A289">
        <v>291</v>
      </c>
      <c r="B289" s="2">
        <v>45327</v>
      </c>
      <c r="C289">
        <v>1644848787</v>
      </c>
      <c r="D289" t="s">
        <v>24</v>
      </c>
      <c r="E289" t="s">
        <v>32</v>
      </c>
      <c r="F289" t="s">
        <v>43</v>
      </c>
      <c r="G289" t="s">
        <v>57</v>
      </c>
      <c r="H289" t="s">
        <v>59</v>
      </c>
      <c r="I289" t="s">
        <v>61</v>
      </c>
      <c r="J289" t="s">
        <v>78</v>
      </c>
      <c r="K289" t="s">
        <v>97</v>
      </c>
      <c r="L289">
        <v>273</v>
      </c>
      <c r="M289">
        <v>87</v>
      </c>
      <c r="N289">
        <v>23751</v>
      </c>
    </row>
    <row r="290" spans="1:14" x14ac:dyDescent="0.25">
      <c r="A290">
        <v>292</v>
      </c>
      <c r="B290" s="2">
        <v>45384</v>
      </c>
      <c r="C290">
        <v>8273786477</v>
      </c>
      <c r="D290" t="s">
        <v>24</v>
      </c>
      <c r="E290" t="s">
        <v>32</v>
      </c>
      <c r="F290" t="s">
        <v>43</v>
      </c>
      <c r="G290" t="s">
        <v>57</v>
      </c>
      <c r="H290" t="s">
        <v>59</v>
      </c>
      <c r="I290" t="s">
        <v>61</v>
      </c>
      <c r="J290" t="s">
        <v>79</v>
      </c>
      <c r="K290" t="s">
        <v>98</v>
      </c>
      <c r="L290">
        <v>487.19999999999987</v>
      </c>
      <c r="M290">
        <v>58</v>
      </c>
      <c r="N290">
        <v>28257.599999999991</v>
      </c>
    </row>
    <row r="291" spans="1:14" x14ac:dyDescent="0.25">
      <c r="A291">
        <v>293</v>
      </c>
      <c r="B291" s="2">
        <v>45523</v>
      </c>
      <c r="C291">
        <v>1397118248</v>
      </c>
      <c r="D291" t="s">
        <v>19</v>
      </c>
      <c r="E291" t="s">
        <v>34</v>
      </c>
      <c r="F291" t="s">
        <v>44</v>
      </c>
      <c r="G291" t="s">
        <v>54</v>
      </c>
      <c r="H291" t="s">
        <v>58</v>
      </c>
      <c r="I291" t="s">
        <v>62</v>
      </c>
      <c r="J291" t="s">
        <v>64</v>
      </c>
      <c r="K291" t="s">
        <v>88</v>
      </c>
      <c r="L291">
        <v>196</v>
      </c>
      <c r="M291">
        <v>85</v>
      </c>
      <c r="N291">
        <v>16660</v>
      </c>
    </row>
    <row r="292" spans="1:14" x14ac:dyDescent="0.25">
      <c r="A292">
        <v>294</v>
      </c>
      <c r="B292" s="2">
        <v>45420</v>
      </c>
      <c r="C292">
        <v>4468604310</v>
      </c>
      <c r="D292" t="s">
        <v>17</v>
      </c>
      <c r="E292" t="s">
        <v>31</v>
      </c>
      <c r="F292" t="s">
        <v>42</v>
      </c>
      <c r="G292" t="s">
        <v>52</v>
      </c>
      <c r="H292" t="s">
        <v>58</v>
      </c>
      <c r="I292" t="s">
        <v>61</v>
      </c>
      <c r="J292" t="s">
        <v>73</v>
      </c>
      <c r="K292" t="s">
        <v>93</v>
      </c>
      <c r="L292">
        <v>560</v>
      </c>
      <c r="M292">
        <v>28</v>
      </c>
      <c r="N292">
        <v>15680</v>
      </c>
    </row>
    <row r="293" spans="1:14" x14ac:dyDescent="0.25">
      <c r="A293">
        <v>295</v>
      </c>
      <c r="B293" s="2">
        <v>45639</v>
      </c>
      <c r="C293">
        <v>457458721</v>
      </c>
      <c r="D293" t="s">
        <v>17</v>
      </c>
      <c r="E293" t="s">
        <v>31</v>
      </c>
      <c r="F293" t="s">
        <v>42</v>
      </c>
      <c r="G293" t="s">
        <v>52</v>
      </c>
      <c r="H293" t="s">
        <v>58</v>
      </c>
      <c r="I293" t="s">
        <v>61</v>
      </c>
      <c r="J293" t="s">
        <v>70</v>
      </c>
      <c r="K293" t="s">
        <v>90</v>
      </c>
      <c r="L293">
        <v>128.80000000000001</v>
      </c>
      <c r="M293">
        <v>19</v>
      </c>
      <c r="N293">
        <v>2447.1999999999998</v>
      </c>
    </row>
    <row r="294" spans="1:14" x14ac:dyDescent="0.25">
      <c r="A294">
        <v>296</v>
      </c>
      <c r="B294" s="2">
        <v>45451</v>
      </c>
      <c r="C294">
        <v>7184663808</v>
      </c>
      <c r="D294" t="s">
        <v>26</v>
      </c>
      <c r="E294" t="s">
        <v>36</v>
      </c>
      <c r="F294" t="s">
        <v>46</v>
      </c>
      <c r="G294" t="s">
        <v>56</v>
      </c>
      <c r="H294" t="s">
        <v>59</v>
      </c>
      <c r="I294" t="s">
        <v>63</v>
      </c>
      <c r="J294" t="s">
        <v>83</v>
      </c>
      <c r="K294" t="s">
        <v>90</v>
      </c>
      <c r="L294">
        <v>140</v>
      </c>
      <c r="M294">
        <v>99</v>
      </c>
      <c r="N294">
        <v>13860</v>
      </c>
    </row>
    <row r="295" spans="1:14" x14ac:dyDescent="0.25">
      <c r="A295">
        <v>297</v>
      </c>
      <c r="B295" s="2">
        <v>45548</v>
      </c>
      <c r="C295">
        <v>3449599231</v>
      </c>
      <c r="D295" t="s">
        <v>27</v>
      </c>
      <c r="E295" t="s">
        <v>38</v>
      </c>
      <c r="F295" t="s">
        <v>38</v>
      </c>
      <c r="G295" t="s">
        <v>55</v>
      </c>
      <c r="H295" t="s">
        <v>60</v>
      </c>
      <c r="I295" t="s">
        <v>62</v>
      </c>
      <c r="J295" t="s">
        <v>84</v>
      </c>
      <c r="K295" t="s">
        <v>100</v>
      </c>
      <c r="L295">
        <v>298.89999999999998</v>
      </c>
      <c r="M295">
        <v>69</v>
      </c>
      <c r="N295">
        <v>20624.099999999999</v>
      </c>
    </row>
    <row r="296" spans="1:14" x14ac:dyDescent="0.25">
      <c r="A296">
        <v>298</v>
      </c>
      <c r="B296" s="2">
        <v>45629</v>
      </c>
      <c r="C296">
        <v>3901461858</v>
      </c>
      <c r="D296" t="s">
        <v>27</v>
      </c>
      <c r="E296" t="s">
        <v>38</v>
      </c>
      <c r="F296" t="s">
        <v>38</v>
      </c>
      <c r="G296" t="s">
        <v>55</v>
      </c>
      <c r="H296" t="s">
        <v>60</v>
      </c>
      <c r="I296" t="s">
        <v>62</v>
      </c>
      <c r="J296" t="s">
        <v>72</v>
      </c>
      <c r="K296" t="s">
        <v>92</v>
      </c>
      <c r="L296">
        <v>135.1</v>
      </c>
      <c r="M296">
        <v>37</v>
      </c>
      <c r="N296">
        <v>4998.7</v>
      </c>
    </row>
    <row r="297" spans="1:14" x14ac:dyDescent="0.25">
      <c r="A297">
        <v>299</v>
      </c>
      <c r="B297" s="2">
        <v>45383</v>
      </c>
      <c r="C297">
        <v>6798892819</v>
      </c>
      <c r="D297" t="s">
        <v>27</v>
      </c>
      <c r="E297" t="s">
        <v>38</v>
      </c>
      <c r="F297" t="s">
        <v>38</v>
      </c>
      <c r="G297" t="s">
        <v>55</v>
      </c>
      <c r="H297" t="s">
        <v>60</v>
      </c>
      <c r="I297" t="s">
        <v>62</v>
      </c>
      <c r="J297" t="s">
        <v>77</v>
      </c>
      <c r="K297" t="s">
        <v>96</v>
      </c>
      <c r="L297">
        <v>257.60000000000002</v>
      </c>
      <c r="M297">
        <v>64</v>
      </c>
      <c r="N297">
        <v>16486.400000000001</v>
      </c>
    </row>
    <row r="298" spans="1:14" x14ac:dyDescent="0.25">
      <c r="A298">
        <v>300</v>
      </c>
      <c r="B298" s="2">
        <v>45591</v>
      </c>
      <c r="C298">
        <v>6897506437</v>
      </c>
      <c r="D298" t="s">
        <v>18</v>
      </c>
      <c r="E298" t="s">
        <v>32</v>
      </c>
      <c r="F298" t="s">
        <v>43</v>
      </c>
      <c r="G298" t="s">
        <v>53</v>
      </c>
      <c r="H298" t="s">
        <v>58</v>
      </c>
      <c r="I298" t="s">
        <v>61</v>
      </c>
      <c r="J298" t="s">
        <v>64</v>
      </c>
      <c r="K298" t="s">
        <v>88</v>
      </c>
      <c r="L298">
        <v>196</v>
      </c>
      <c r="M298">
        <v>38</v>
      </c>
      <c r="N298">
        <v>7448</v>
      </c>
    </row>
    <row r="299" spans="1:14" x14ac:dyDescent="0.25">
      <c r="A299">
        <v>301</v>
      </c>
      <c r="B299" s="2">
        <v>45585</v>
      </c>
      <c r="C299">
        <v>6298594113</v>
      </c>
      <c r="D299" t="s">
        <v>19</v>
      </c>
      <c r="E299" t="s">
        <v>34</v>
      </c>
      <c r="F299" t="s">
        <v>44</v>
      </c>
      <c r="G299" t="s">
        <v>54</v>
      </c>
      <c r="H299" t="s">
        <v>60</v>
      </c>
      <c r="I299" t="s">
        <v>61</v>
      </c>
      <c r="J299" t="s">
        <v>71</v>
      </c>
      <c r="K299" t="s">
        <v>91</v>
      </c>
      <c r="L299">
        <v>178.5</v>
      </c>
      <c r="M299">
        <v>15</v>
      </c>
      <c r="N299">
        <v>2677.5</v>
      </c>
    </row>
    <row r="300" spans="1:14" x14ac:dyDescent="0.25">
      <c r="A300">
        <v>302</v>
      </c>
      <c r="B300" s="2">
        <v>45445</v>
      </c>
      <c r="C300">
        <v>6972691420</v>
      </c>
      <c r="D300" t="s">
        <v>15</v>
      </c>
      <c r="E300" t="s">
        <v>30</v>
      </c>
      <c r="F300" t="s">
        <v>41</v>
      </c>
      <c r="G300" t="s">
        <v>51</v>
      </c>
      <c r="H300" t="s">
        <v>59</v>
      </c>
      <c r="I300" t="s">
        <v>62</v>
      </c>
      <c r="J300" t="s">
        <v>85</v>
      </c>
      <c r="K300" t="s">
        <v>94</v>
      </c>
      <c r="L300">
        <v>1134</v>
      </c>
      <c r="M300">
        <v>52</v>
      </c>
      <c r="N300">
        <v>58968</v>
      </c>
    </row>
    <row r="301" spans="1:14" x14ac:dyDescent="0.25">
      <c r="A301">
        <v>303</v>
      </c>
      <c r="B301" s="2">
        <v>45539</v>
      </c>
      <c r="C301">
        <v>677992170</v>
      </c>
      <c r="D301" t="s">
        <v>15</v>
      </c>
      <c r="E301" t="s">
        <v>30</v>
      </c>
      <c r="F301" t="s">
        <v>41</v>
      </c>
      <c r="G301" t="s">
        <v>51</v>
      </c>
      <c r="H301" t="s">
        <v>59</v>
      </c>
      <c r="I301" t="s">
        <v>62</v>
      </c>
      <c r="J301" t="s">
        <v>86</v>
      </c>
      <c r="K301" t="s">
        <v>101</v>
      </c>
      <c r="L301">
        <v>98</v>
      </c>
      <c r="M301">
        <v>37</v>
      </c>
      <c r="N301">
        <v>3626</v>
      </c>
    </row>
    <row r="302" spans="1:14" x14ac:dyDescent="0.25">
      <c r="A302">
        <v>304</v>
      </c>
      <c r="B302" s="2">
        <v>45524</v>
      </c>
      <c r="C302">
        <v>3501827064</v>
      </c>
      <c r="D302" t="s">
        <v>17</v>
      </c>
      <c r="E302" t="s">
        <v>31</v>
      </c>
      <c r="F302" t="s">
        <v>42</v>
      </c>
      <c r="G302" t="s">
        <v>52</v>
      </c>
      <c r="H302" t="s">
        <v>60</v>
      </c>
      <c r="I302" t="s">
        <v>62</v>
      </c>
      <c r="J302" t="s">
        <v>79</v>
      </c>
      <c r="K302" t="s">
        <v>98</v>
      </c>
      <c r="L302">
        <v>487.19999999999987</v>
      </c>
      <c r="M302">
        <v>24</v>
      </c>
      <c r="N302">
        <v>11692.8</v>
      </c>
    </row>
    <row r="303" spans="1:14" x14ac:dyDescent="0.25">
      <c r="A303">
        <v>305</v>
      </c>
      <c r="B303" s="2">
        <v>45440</v>
      </c>
      <c r="C303">
        <v>9140892367</v>
      </c>
      <c r="D303" t="s">
        <v>25</v>
      </c>
      <c r="E303" t="s">
        <v>33</v>
      </c>
      <c r="F303" t="s">
        <v>49</v>
      </c>
      <c r="G303" t="s">
        <v>50</v>
      </c>
      <c r="H303" t="s">
        <v>58</v>
      </c>
      <c r="I303" t="s">
        <v>63</v>
      </c>
      <c r="J303" t="s">
        <v>87</v>
      </c>
      <c r="K303" t="s">
        <v>95</v>
      </c>
      <c r="L303">
        <v>140</v>
      </c>
      <c r="M303">
        <v>36</v>
      </c>
      <c r="N303">
        <v>5040</v>
      </c>
    </row>
    <row r="304" spans="1:14" x14ac:dyDescent="0.25">
      <c r="A304">
        <v>306</v>
      </c>
      <c r="B304" s="2">
        <v>45498</v>
      </c>
      <c r="C304">
        <v>7570396760</v>
      </c>
      <c r="D304" t="s">
        <v>25</v>
      </c>
      <c r="E304" t="s">
        <v>33</v>
      </c>
      <c r="F304" t="s">
        <v>49</v>
      </c>
      <c r="G304" t="s">
        <v>50</v>
      </c>
      <c r="H304" t="s">
        <v>58</v>
      </c>
      <c r="I304" t="s">
        <v>63</v>
      </c>
      <c r="J304" t="s">
        <v>73</v>
      </c>
      <c r="K304" t="s">
        <v>93</v>
      </c>
      <c r="L304">
        <v>560</v>
      </c>
      <c r="M304">
        <v>24</v>
      </c>
      <c r="N304">
        <v>13440</v>
      </c>
    </row>
    <row r="305" spans="1:14" x14ac:dyDescent="0.25">
      <c r="A305">
        <v>307</v>
      </c>
      <c r="B305" s="2">
        <v>45546</v>
      </c>
      <c r="C305">
        <v>5368769086</v>
      </c>
      <c r="D305" t="s">
        <v>21</v>
      </c>
      <c r="E305" t="s">
        <v>36</v>
      </c>
      <c r="F305" t="s">
        <v>46</v>
      </c>
      <c r="G305" t="s">
        <v>56</v>
      </c>
      <c r="H305" t="s">
        <v>58</v>
      </c>
      <c r="I305" t="s">
        <v>62</v>
      </c>
      <c r="J305" t="s">
        <v>80</v>
      </c>
      <c r="K305" t="s">
        <v>89</v>
      </c>
      <c r="L305">
        <v>140</v>
      </c>
      <c r="M305">
        <v>20</v>
      </c>
      <c r="N305">
        <v>2800</v>
      </c>
    </row>
    <row r="306" spans="1:14" x14ac:dyDescent="0.25">
      <c r="A306">
        <v>308</v>
      </c>
      <c r="B306" s="2">
        <v>45623</v>
      </c>
      <c r="C306">
        <v>443042127</v>
      </c>
      <c r="D306" t="s">
        <v>21</v>
      </c>
      <c r="E306" t="s">
        <v>36</v>
      </c>
      <c r="F306" t="s">
        <v>46</v>
      </c>
      <c r="G306" t="s">
        <v>56</v>
      </c>
      <c r="H306" t="s">
        <v>59</v>
      </c>
      <c r="I306" t="s">
        <v>62</v>
      </c>
      <c r="J306" t="s">
        <v>65</v>
      </c>
      <c r="K306" t="s">
        <v>89</v>
      </c>
      <c r="L306">
        <v>49</v>
      </c>
      <c r="M306">
        <v>11</v>
      </c>
      <c r="N306">
        <v>539</v>
      </c>
    </row>
    <row r="307" spans="1:14" x14ac:dyDescent="0.25">
      <c r="A307">
        <v>309</v>
      </c>
      <c r="B307" s="2">
        <v>45301</v>
      </c>
      <c r="C307">
        <v>3198859022</v>
      </c>
      <c r="D307" t="s">
        <v>22</v>
      </c>
      <c r="E307" t="s">
        <v>38</v>
      </c>
      <c r="F307" t="s">
        <v>38</v>
      </c>
      <c r="G307" t="s">
        <v>55</v>
      </c>
      <c r="H307" t="s">
        <v>60</v>
      </c>
      <c r="I307" t="s">
        <v>61</v>
      </c>
      <c r="J307" t="s">
        <v>73</v>
      </c>
      <c r="K307" t="s">
        <v>93</v>
      </c>
      <c r="L307">
        <v>560</v>
      </c>
      <c r="M307">
        <v>78</v>
      </c>
      <c r="N307">
        <v>43680</v>
      </c>
    </row>
    <row r="308" spans="1:14" x14ac:dyDescent="0.25">
      <c r="A308">
        <v>310</v>
      </c>
      <c r="B308" s="2">
        <v>45504</v>
      </c>
      <c r="C308">
        <v>2982674072</v>
      </c>
      <c r="D308" t="s">
        <v>23</v>
      </c>
      <c r="E308" t="s">
        <v>39</v>
      </c>
      <c r="F308" t="s">
        <v>48</v>
      </c>
      <c r="G308" t="s">
        <v>52</v>
      </c>
      <c r="H308" t="s">
        <v>60</v>
      </c>
      <c r="I308" t="s">
        <v>61</v>
      </c>
      <c r="J308" t="s">
        <v>77</v>
      </c>
      <c r="K308" t="s">
        <v>96</v>
      </c>
      <c r="L308">
        <v>257.60000000000002</v>
      </c>
      <c r="M308">
        <v>76</v>
      </c>
      <c r="N308">
        <v>19577.599999999999</v>
      </c>
    </row>
    <row r="309" spans="1:14" x14ac:dyDescent="0.25">
      <c r="A309">
        <v>311</v>
      </c>
      <c r="B309" s="2">
        <v>45579</v>
      </c>
      <c r="C309">
        <v>1636086310</v>
      </c>
      <c r="D309" t="s">
        <v>20</v>
      </c>
      <c r="E309" t="s">
        <v>35</v>
      </c>
      <c r="F309" t="s">
        <v>45</v>
      </c>
      <c r="G309" t="s">
        <v>55</v>
      </c>
      <c r="H309" t="s">
        <v>60</v>
      </c>
      <c r="I309" t="s">
        <v>62</v>
      </c>
      <c r="J309" t="s">
        <v>69</v>
      </c>
      <c r="K309" t="s">
        <v>88</v>
      </c>
      <c r="L309">
        <v>644</v>
      </c>
      <c r="M309">
        <v>57</v>
      </c>
      <c r="N309">
        <v>36708</v>
      </c>
    </row>
    <row r="310" spans="1:14" x14ac:dyDescent="0.25">
      <c r="A310">
        <v>312</v>
      </c>
      <c r="B310" s="2">
        <v>45530</v>
      </c>
      <c r="C310">
        <v>9879315200</v>
      </c>
      <c r="D310" t="s">
        <v>24</v>
      </c>
      <c r="E310" t="s">
        <v>32</v>
      </c>
      <c r="F310" t="s">
        <v>43</v>
      </c>
      <c r="G310" t="s">
        <v>57</v>
      </c>
      <c r="H310" t="s">
        <v>59</v>
      </c>
      <c r="I310" t="s">
        <v>61</v>
      </c>
      <c r="J310" t="s">
        <v>72</v>
      </c>
      <c r="K310" t="s">
        <v>92</v>
      </c>
      <c r="L310">
        <v>135.1</v>
      </c>
      <c r="M310">
        <v>14</v>
      </c>
      <c r="N310">
        <v>1891.4</v>
      </c>
    </row>
    <row r="311" spans="1:14" x14ac:dyDescent="0.25">
      <c r="A311">
        <v>313</v>
      </c>
      <c r="B311" s="2">
        <v>45414</v>
      </c>
      <c r="C311">
        <v>3833780472</v>
      </c>
      <c r="D311" t="s">
        <v>14</v>
      </c>
      <c r="E311" t="s">
        <v>29</v>
      </c>
      <c r="F311" t="s">
        <v>40</v>
      </c>
      <c r="G311" t="s">
        <v>50</v>
      </c>
      <c r="H311" t="s">
        <v>58</v>
      </c>
      <c r="I311" t="s">
        <v>61</v>
      </c>
      <c r="J311" t="s">
        <v>64</v>
      </c>
      <c r="K311" t="s">
        <v>88</v>
      </c>
      <c r="L311">
        <v>196</v>
      </c>
      <c r="M311">
        <v>14</v>
      </c>
      <c r="N311">
        <v>2744</v>
      </c>
    </row>
    <row r="312" spans="1:14" x14ac:dyDescent="0.25">
      <c r="A312">
        <v>314</v>
      </c>
      <c r="B312" s="2">
        <v>45622</v>
      </c>
      <c r="C312">
        <v>1343389818</v>
      </c>
      <c r="D312" t="s">
        <v>14</v>
      </c>
      <c r="E312" t="s">
        <v>29</v>
      </c>
      <c r="F312" t="s">
        <v>40</v>
      </c>
      <c r="G312" t="s">
        <v>50</v>
      </c>
      <c r="H312" t="s">
        <v>58</v>
      </c>
      <c r="I312" t="s">
        <v>61</v>
      </c>
      <c r="J312" t="s">
        <v>65</v>
      </c>
      <c r="K312" t="s">
        <v>89</v>
      </c>
      <c r="L312">
        <v>49</v>
      </c>
      <c r="M312">
        <v>70</v>
      </c>
      <c r="N312">
        <v>3430</v>
      </c>
    </row>
    <row r="313" spans="1:14" x14ac:dyDescent="0.25">
      <c r="A313">
        <v>315</v>
      </c>
      <c r="B313" s="2">
        <v>45358</v>
      </c>
      <c r="C313">
        <v>3066920858</v>
      </c>
      <c r="D313" t="s">
        <v>15</v>
      </c>
      <c r="E313" t="s">
        <v>30</v>
      </c>
      <c r="F313" t="s">
        <v>41</v>
      </c>
      <c r="G313" t="s">
        <v>51</v>
      </c>
      <c r="H313" t="s">
        <v>59</v>
      </c>
      <c r="I313" t="s">
        <v>62</v>
      </c>
      <c r="J313" t="s">
        <v>66</v>
      </c>
      <c r="K313" t="s">
        <v>89</v>
      </c>
      <c r="L313">
        <v>420</v>
      </c>
      <c r="M313">
        <v>100</v>
      </c>
      <c r="N313">
        <v>42000</v>
      </c>
    </row>
    <row r="314" spans="1:14" x14ac:dyDescent="0.25">
      <c r="A314">
        <v>316</v>
      </c>
      <c r="B314" s="2">
        <v>45536</v>
      </c>
      <c r="C314">
        <v>3596038071</v>
      </c>
      <c r="D314" t="s">
        <v>15</v>
      </c>
      <c r="E314" t="s">
        <v>30</v>
      </c>
      <c r="F314" t="s">
        <v>41</v>
      </c>
      <c r="G314" t="s">
        <v>51</v>
      </c>
      <c r="H314" t="s">
        <v>59</v>
      </c>
      <c r="I314" t="s">
        <v>62</v>
      </c>
      <c r="J314" t="s">
        <v>67</v>
      </c>
      <c r="K314" t="s">
        <v>89</v>
      </c>
      <c r="L314">
        <v>742</v>
      </c>
      <c r="M314">
        <v>27</v>
      </c>
      <c r="N314">
        <v>20034</v>
      </c>
    </row>
    <row r="315" spans="1:14" x14ac:dyDescent="0.25">
      <c r="A315">
        <v>317</v>
      </c>
      <c r="B315" s="2">
        <v>45516</v>
      </c>
      <c r="C315">
        <v>8280434895</v>
      </c>
      <c r="D315" t="s">
        <v>15</v>
      </c>
      <c r="E315" t="s">
        <v>30</v>
      </c>
      <c r="F315" t="s">
        <v>41</v>
      </c>
      <c r="G315" t="s">
        <v>51</v>
      </c>
      <c r="H315" t="s">
        <v>59</v>
      </c>
      <c r="I315" t="s">
        <v>62</v>
      </c>
      <c r="J315" t="s">
        <v>65</v>
      </c>
      <c r="K315" t="s">
        <v>89</v>
      </c>
      <c r="L315">
        <v>49</v>
      </c>
      <c r="M315">
        <v>70</v>
      </c>
      <c r="N315">
        <v>3430</v>
      </c>
    </row>
    <row r="316" spans="1:14" x14ac:dyDescent="0.25">
      <c r="A316">
        <v>318</v>
      </c>
      <c r="B316" s="2">
        <v>45607</v>
      </c>
      <c r="C316">
        <v>7983505639</v>
      </c>
      <c r="D316" t="s">
        <v>16</v>
      </c>
      <c r="E316" t="s">
        <v>29</v>
      </c>
      <c r="F316" t="s">
        <v>40</v>
      </c>
      <c r="G316" t="s">
        <v>50</v>
      </c>
      <c r="H316" t="s">
        <v>58</v>
      </c>
      <c r="I316" t="s">
        <v>62</v>
      </c>
      <c r="J316" t="s">
        <v>68</v>
      </c>
      <c r="K316" t="s">
        <v>88</v>
      </c>
      <c r="L316">
        <v>252</v>
      </c>
      <c r="M316">
        <v>57</v>
      </c>
      <c r="N316">
        <v>14364</v>
      </c>
    </row>
    <row r="317" spans="1:14" x14ac:dyDescent="0.25">
      <c r="A317">
        <v>319</v>
      </c>
      <c r="B317" s="2">
        <v>45458</v>
      </c>
      <c r="C317">
        <v>4943792001</v>
      </c>
      <c r="D317" t="s">
        <v>16</v>
      </c>
      <c r="E317" t="s">
        <v>29</v>
      </c>
      <c r="F317" t="s">
        <v>40</v>
      </c>
      <c r="G317" t="s">
        <v>50</v>
      </c>
      <c r="H317" t="s">
        <v>58</v>
      </c>
      <c r="I317" t="s">
        <v>62</v>
      </c>
      <c r="J317" t="s">
        <v>69</v>
      </c>
      <c r="K317" t="s">
        <v>88</v>
      </c>
      <c r="L317">
        <v>644</v>
      </c>
      <c r="M317">
        <v>83</v>
      </c>
      <c r="N317">
        <v>53452</v>
      </c>
    </row>
    <row r="318" spans="1:14" x14ac:dyDescent="0.25">
      <c r="A318">
        <v>320</v>
      </c>
      <c r="B318" s="2">
        <v>45318</v>
      </c>
      <c r="C318">
        <v>2679766092</v>
      </c>
      <c r="D318" t="s">
        <v>17</v>
      </c>
      <c r="E318" t="s">
        <v>31</v>
      </c>
      <c r="F318" t="s">
        <v>42</v>
      </c>
      <c r="G318" t="s">
        <v>52</v>
      </c>
      <c r="H318" t="s">
        <v>60</v>
      </c>
      <c r="I318" t="s">
        <v>62</v>
      </c>
      <c r="J318" t="s">
        <v>70</v>
      </c>
      <c r="K318" t="s">
        <v>90</v>
      </c>
      <c r="L318">
        <v>128.80000000000001</v>
      </c>
      <c r="M318">
        <v>76</v>
      </c>
      <c r="N318">
        <v>9788.7999999999993</v>
      </c>
    </row>
    <row r="319" spans="1:14" x14ac:dyDescent="0.25">
      <c r="A319">
        <v>321</v>
      </c>
      <c r="B319" s="2">
        <v>45616</v>
      </c>
      <c r="C319">
        <v>6256032641</v>
      </c>
      <c r="D319" t="s">
        <v>15</v>
      </c>
      <c r="E319" t="s">
        <v>30</v>
      </c>
      <c r="F319" t="s">
        <v>41</v>
      </c>
      <c r="G319" t="s">
        <v>51</v>
      </c>
      <c r="H319" t="s">
        <v>60</v>
      </c>
      <c r="I319" t="s">
        <v>61</v>
      </c>
      <c r="J319" t="s">
        <v>70</v>
      </c>
      <c r="K319" t="s">
        <v>90</v>
      </c>
      <c r="L319">
        <v>128.80000000000001</v>
      </c>
      <c r="M319">
        <v>80</v>
      </c>
      <c r="N319">
        <v>10304</v>
      </c>
    </row>
    <row r="320" spans="1:14" x14ac:dyDescent="0.25">
      <c r="A320">
        <v>322</v>
      </c>
      <c r="B320" s="2">
        <v>45328</v>
      </c>
      <c r="C320">
        <v>8317306577</v>
      </c>
      <c r="D320" t="s">
        <v>18</v>
      </c>
      <c r="E320" t="s">
        <v>32</v>
      </c>
      <c r="F320" t="s">
        <v>43</v>
      </c>
      <c r="G320" t="s">
        <v>53</v>
      </c>
      <c r="H320" t="s">
        <v>58</v>
      </c>
      <c r="I320" t="s">
        <v>61</v>
      </c>
      <c r="J320" t="s">
        <v>71</v>
      </c>
      <c r="K320" t="s">
        <v>91</v>
      </c>
      <c r="L320">
        <v>178.5</v>
      </c>
      <c r="M320">
        <v>47</v>
      </c>
      <c r="N320">
        <v>8389.5</v>
      </c>
    </row>
    <row r="321" spans="1:14" x14ac:dyDescent="0.25">
      <c r="A321">
        <v>323</v>
      </c>
      <c r="B321" s="2">
        <v>45581</v>
      </c>
      <c r="C321">
        <v>4952054948</v>
      </c>
      <c r="D321" t="s">
        <v>25</v>
      </c>
      <c r="E321" t="s">
        <v>33</v>
      </c>
      <c r="F321" t="s">
        <v>49</v>
      </c>
      <c r="G321" t="s">
        <v>50</v>
      </c>
      <c r="H321" t="s">
        <v>58</v>
      </c>
      <c r="I321" t="s">
        <v>63</v>
      </c>
      <c r="J321" t="s">
        <v>72</v>
      </c>
      <c r="K321" t="s">
        <v>92</v>
      </c>
      <c r="L321">
        <v>135.1</v>
      </c>
      <c r="M321">
        <v>96</v>
      </c>
      <c r="N321">
        <v>12969.6</v>
      </c>
    </row>
    <row r="322" spans="1:14" x14ac:dyDescent="0.25">
      <c r="A322">
        <v>324</v>
      </c>
      <c r="B322" s="2">
        <v>45520</v>
      </c>
      <c r="C322">
        <v>7792270317</v>
      </c>
      <c r="D322" t="s">
        <v>19</v>
      </c>
      <c r="E322" t="s">
        <v>34</v>
      </c>
      <c r="F322" t="s">
        <v>44</v>
      </c>
      <c r="G322" t="s">
        <v>54</v>
      </c>
      <c r="H322" t="s">
        <v>58</v>
      </c>
      <c r="I322" t="s">
        <v>62</v>
      </c>
      <c r="J322" t="s">
        <v>73</v>
      </c>
      <c r="K322" t="s">
        <v>93</v>
      </c>
      <c r="L322">
        <v>560</v>
      </c>
      <c r="M322">
        <v>32</v>
      </c>
      <c r="N322">
        <v>17920</v>
      </c>
    </row>
    <row r="323" spans="1:14" x14ac:dyDescent="0.25">
      <c r="A323">
        <v>325</v>
      </c>
      <c r="B323" s="2">
        <v>45506</v>
      </c>
      <c r="C323">
        <v>8753687299</v>
      </c>
      <c r="D323" t="s">
        <v>20</v>
      </c>
      <c r="E323" t="s">
        <v>35</v>
      </c>
      <c r="F323" t="s">
        <v>45</v>
      </c>
      <c r="G323" t="s">
        <v>55</v>
      </c>
      <c r="H323" t="s">
        <v>60</v>
      </c>
      <c r="I323" t="s">
        <v>61</v>
      </c>
      <c r="J323" t="s">
        <v>69</v>
      </c>
      <c r="K323" t="s">
        <v>88</v>
      </c>
      <c r="L323">
        <v>644</v>
      </c>
      <c r="M323">
        <v>16</v>
      </c>
      <c r="N323">
        <v>10304</v>
      </c>
    </row>
    <row r="324" spans="1:14" x14ac:dyDescent="0.25">
      <c r="A324">
        <v>326</v>
      </c>
      <c r="B324" s="2">
        <v>45328</v>
      </c>
      <c r="C324">
        <v>3276376437</v>
      </c>
      <c r="D324" t="s">
        <v>17</v>
      </c>
      <c r="E324" t="s">
        <v>31</v>
      </c>
      <c r="F324" t="s">
        <v>42</v>
      </c>
      <c r="G324" t="s">
        <v>52</v>
      </c>
      <c r="H324" t="s">
        <v>60</v>
      </c>
      <c r="I324" t="s">
        <v>61</v>
      </c>
      <c r="J324" t="s">
        <v>71</v>
      </c>
      <c r="K324" t="s">
        <v>91</v>
      </c>
      <c r="L324">
        <v>178.5</v>
      </c>
      <c r="M324">
        <v>41</v>
      </c>
      <c r="N324">
        <v>7318.5</v>
      </c>
    </row>
    <row r="325" spans="1:14" x14ac:dyDescent="0.25">
      <c r="A325">
        <v>327</v>
      </c>
      <c r="B325" s="2">
        <v>45548</v>
      </c>
      <c r="C325">
        <v>6189400875</v>
      </c>
      <c r="D325" t="s">
        <v>21</v>
      </c>
      <c r="E325" t="s">
        <v>36</v>
      </c>
      <c r="F325" t="s">
        <v>46</v>
      </c>
      <c r="G325" t="s">
        <v>56</v>
      </c>
      <c r="H325" t="s">
        <v>58</v>
      </c>
      <c r="I325" t="s">
        <v>62</v>
      </c>
      <c r="J325" t="s">
        <v>74</v>
      </c>
      <c r="K325" t="s">
        <v>88</v>
      </c>
      <c r="L325">
        <v>41.86</v>
      </c>
      <c r="M325">
        <v>41</v>
      </c>
      <c r="N325">
        <v>1716.26</v>
      </c>
    </row>
    <row r="326" spans="1:14" x14ac:dyDescent="0.25">
      <c r="A326">
        <v>328</v>
      </c>
      <c r="B326" s="2">
        <v>45388</v>
      </c>
      <c r="C326">
        <v>3440571177</v>
      </c>
      <c r="D326" t="s">
        <v>28</v>
      </c>
      <c r="E326" t="s">
        <v>37</v>
      </c>
      <c r="F326" t="s">
        <v>47</v>
      </c>
      <c r="G326" t="s">
        <v>52</v>
      </c>
      <c r="H326" t="s">
        <v>58</v>
      </c>
      <c r="I326" t="s">
        <v>63</v>
      </c>
      <c r="J326" t="s">
        <v>69</v>
      </c>
      <c r="K326" t="s">
        <v>88</v>
      </c>
      <c r="L326">
        <v>644</v>
      </c>
      <c r="M326">
        <v>41</v>
      </c>
      <c r="N326">
        <v>26404</v>
      </c>
    </row>
    <row r="327" spans="1:14" x14ac:dyDescent="0.25">
      <c r="A327">
        <v>329</v>
      </c>
      <c r="B327" s="2">
        <v>45436</v>
      </c>
      <c r="C327">
        <v>8874798513</v>
      </c>
      <c r="D327" t="s">
        <v>21</v>
      </c>
      <c r="E327" t="s">
        <v>36</v>
      </c>
      <c r="F327" t="s">
        <v>46</v>
      </c>
      <c r="G327" t="s">
        <v>56</v>
      </c>
      <c r="H327" t="s">
        <v>59</v>
      </c>
      <c r="I327" t="s">
        <v>63</v>
      </c>
      <c r="J327" t="s">
        <v>75</v>
      </c>
      <c r="K327" t="s">
        <v>94</v>
      </c>
      <c r="L327">
        <v>350</v>
      </c>
      <c r="M327">
        <v>94</v>
      </c>
      <c r="N327">
        <v>32900</v>
      </c>
    </row>
    <row r="328" spans="1:14" x14ac:dyDescent="0.25">
      <c r="A328">
        <v>330</v>
      </c>
      <c r="B328" s="2">
        <v>45453</v>
      </c>
      <c r="C328">
        <v>9730368433</v>
      </c>
      <c r="D328" t="s">
        <v>21</v>
      </c>
      <c r="E328" t="s">
        <v>36</v>
      </c>
      <c r="F328" t="s">
        <v>46</v>
      </c>
      <c r="G328" t="s">
        <v>56</v>
      </c>
      <c r="H328" t="s">
        <v>59</v>
      </c>
      <c r="I328" t="s">
        <v>62</v>
      </c>
      <c r="J328" t="s">
        <v>76</v>
      </c>
      <c r="K328" t="s">
        <v>95</v>
      </c>
      <c r="L328">
        <v>308</v>
      </c>
      <c r="M328">
        <v>20</v>
      </c>
      <c r="N328">
        <v>6160</v>
      </c>
    </row>
    <row r="329" spans="1:14" x14ac:dyDescent="0.25">
      <c r="A329">
        <v>331</v>
      </c>
      <c r="B329" s="2">
        <v>45331</v>
      </c>
      <c r="C329">
        <v>6592275352</v>
      </c>
      <c r="D329" t="s">
        <v>21</v>
      </c>
      <c r="E329" t="s">
        <v>36</v>
      </c>
      <c r="F329" t="s">
        <v>46</v>
      </c>
      <c r="G329" t="s">
        <v>56</v>
      </c>
      <c r="H329" t="s">
        <v>59</v>
      </c>
      <c r="I329" t="s">
        <v>63</v>
      </c>
      <c r="J329" t="s">
        <v>70</v>
      </c>
      <c r="K329" t="s">
        <v>90</v>
      </c>
      <c r="L329">
        <v>128.80000000000001</v>
      </c>
      <c r="M329">
        <v>13</v>
      </c>
      <c r="N329">
        <v>1674.4</v>
      </c>
    </row>
    <row r="330" spans="1:14" x14ac:dyDescent="0.25">
      <c r="A330">
        <v>332</v>
      </c>
      <c r="B330" s="2">
        <v>45343</v>
      </c>
      <c r="C330">
        <v>9303282439</v>
      </c>
      <c r="D330" t="s">
        <v>22</v>
      </c>
      <c r="E330" t="s">
        <v>38</v>
      </c>
      <c r="F330" t="s">
        <v>38</v>
      </c>
      <c r="G330" t="s">
        <v>55</v>
      </c>
      <c r="H330" t="s">
        <v>60</v>
      </c>
      <c r="I330" t="s">
        <v>61</v>
      </c>
      <c r="J330" t="s">
        <v>65</v>
      </c>
      <c r="K330" t="s">
        <v>89</v>
      </c>
      <c r="L330">
        <v>49</v>
      </c>
      <c r="M330">
        <v>74</v>
      </c>
      <c r="N330">
        <v>3626</v>
      </c>
    </row>
    <row r="331" spans="1:14" x14ac:dyDescent="0.25">
      <c r="A331">
        <v>333</v>
      </c>
      <c r="B331" s="2">
        <v>45401</v>
      </c>
      <c r="C331">
        <v>8998167680</v>
      </c>
      <c r="D331" t="s">
        <v>22</v>
      </c>
      <c r="E331" t="s">
        <v>38</v>
      </c>
      <c r="F331" t="s">
        <v>38</v>
      </c>
      <c r="G331" t="s">
        <v>55</v>
      </c>
      <c r="H331" t="s">
        <v>60</v>
      </c>
      <c r="I331" t="s">
        <v>61</v>
      </c>
      <c r="J331" t="s">
        <v>74</v>
      </c>
      <c r="K331" t="s">
        <v>88</v>
      </c>
      <c r="L331">
        <v>41.86</v>
      </c>
      <c r="M331">
        <v>53</v>
      </c>
      <c r="N331">
        <v>2218.58</v>
      </c>
    </row>
    <row r="332" spans="1:14" x14ac:dyDescent="0.25">
      <c r="A332">
        <v>334</v>
      </c>
      <c r="B332" s="2">
        <v>45335</v>
      </c>
      <c r="C332">
        <v>2058395697</v>
      </c>
      <c r="D332" t="s">
        <v>23</v>
      </c>
      <c r="E332" t="s">
        <v>39</v>
      </c>
      <c r="F332" t="s">
        <v>48</v>
      </c>
      <c r="G332" t="s">
        <v>52</v>
      </c>
      <c r="H332" t="s">
        <v>60</v>
      </c>
      <c r="I332" t="s">
        <v>63</v>
      </c>
      <c r="J332" t="s">
        <v>68</v>
      </c>
      <c r="K332" t="s">
        <v>88</v>
      </c>
      <c r="L332">
        <v>252</v>
      </c>
      <c r="M332">
        <v>99</v>
      </c>
      <c r="N332">
        <v>24948</v>
      </c>
    </row>
    <row r="333" spans="1:14" x14ac:dyDescent="0.25">
      <c r="A333">
        <v>335</v>
      </c>
      <c r="B333" s="2">
        <v>45293</v>
      </c>
      <c r="C333">
        <v>5534305664</v>
      </c>
      <c r="D333" t="s">
        <v>23</v>
      </c>
      <c r="E333" t="s">
        <v>39</v>
      </c>
      <c r="F333" t="s">
        <v>48</v>
      </c>
      <c r="G333" t="s">
        <v>52</v>
      </c>
      <c r="H333" t="s">
        <v>59</v>
      </c>
      <c r="I333" t="s">
        <v>62</v>
      </c>
      <c r="J333" t="s">
        <v>69</v>
      </c>
      <c r="K333" t="s">
        <v>88</v>
      </c>
      <c r="L333">
        <v>644</v>
      </c>
      <c r="M333">
        <v>89</v>
      </c>
      <c r="N333">
        <v>57316</v>
      </c>
    </row>
    <row r="334" spans="1:14" x14ac:dyDescent="0.25">
      <c r="A334">
        <v>336</v>
      </c>
      <c r="B334" s="2">
        <v>45449</v>
      </c>
      <c r="C334">
        <v>5417309832</v>
      </c>
      <c r="D334" t="s">
        <v>23</v>
      </c>
      <c r="E334" t="s">
        <v>39</v>
      </c>
      <c r="F334" t="s">
        <v>48</v>
      </c>
      <c r="G334" t="s">
        <v>52</v>
      </c>
      <c r="H334" t="s">
        <v>59</v>
      </c>
      <c r="I334" t="s">
        <v>62</v>
      </c>
      <c r="J334" t="s">
        <v>74</v>
      </c>
      <c r="K334" t="s">
        <v>88</v>
      </c>
      <c r="L334">
        <v>41.86</v>
      </c>
      <c r="M334">
        <v>64</v>
      </c>
      <c r="N334">
        <v>2679.04</v>
      </c>
    </row>
    <row r="335" spans="1:14" x14ac:dyDescent="0.25">
      <c r="A335">
        <v>337</v>
      </c>
      <c r="B335" s="2">
        <v>45562</v>
      </c>
      <c r="C335">
        <v>7626114952</v>
      </c>
      <c r="D335" t="s">
        <v>20</v>
      </c>
      <c r="E335" t="s">
        <v>35</v>
      </c>
      <c r="F335" t="s">
        <v>45</v>
      </c>
      <c r="G335" t="s">
        <v>55</v>
      </c>
      <c r="H335" t="s">
        <v>60</v>
      </c>
      <c r="I335" t="s">
        <v>62</v>
      </c>
      <c r="J335" t="s">
        <v>72</v>
      </c>
      <c r="K335" t="s">
        <v>92</v>
      </c>
      <c r="L335">
        <v>135.1</v>
      </c>
      <c r="M335">
        <v>98</v>
      </c>
      <c r="N335">
        <v>13239.8</v>
      </c>
    </row>
    <row r="336" spans="1:14" x14ac:dyDescent="0.25">
      <c r="A336">
        <v>338</v>
      </c>
      <c r="B336" s="2">
        <v>45340</v>
      </c>
      <c r="C336">
        <v>7075151442</v>
      </c>
      <c r="D336" t="s">
        <v>20</v>
      </c>
      <c r="E336" t="s">
        <v>35</v>
      </c>
      <c r="F336" t="s">
        <v>45</v>
      </c>
      <c r="G336" t="s">
        <v>55</v>
      </c>
      <c r="H336" t="s">
        <v>60</v>
      </c>
      <c r="I336" t="s">
        <v>62</v>
      </c>
      <c r="J336" t="s">
        <v>77</v>
      </c>
      <c r="K336" t="s">
        <v>96</v>
      </c>
      <c r="L336">
        <v>257.60000000000002</v>
      </c>
      <c r="M336">
        <v>86</v>
      </c>
      <c r="N336">
        <v>22153.599999999999</v>
      </c>
    </row>
    <row r="337" spans="1:14" x14ac:dyDescent="0.25">
      <c r="A337">
        <v>339</v>
      </c>
      <c r="B337" s="2">
        <v>45628</v>
      </c>
      <c r="C337">
        <v>4170346813</v>
      </c>
      <c r="D337" t="s">
        <v>24</v>
      </c>
      <c r="E337" t="s">
        <v>32</v>
      </c>
      <c r="F337" t="s">
        <v>43</v>
      </c>
      <c r="G337" t="s">
        <v>57</v>
      </c>
      <c r="H337" t="s">
        <v>59</v>
      </c>
      <c r="I337" t="s">
        <v>61</v>
      </c>
      <c r="J337" t="s">
        <v>78</v>
      </c>
      <c r="K337" t="s">
        <v>97</v>
      </c>
      <c r="L337">
        <v>273</v>
      </c>
      <c r="M337">
        <v>20</v>
      </c>
      <c r="N337">
        <v>5460</v>
      </c>
    </row>
    <row r="338" spans="1:14" x14ac:dyDescent="0.25">
      <c r="A338">
        <v>340</v>
      </c>
      <c r="B338" s="2">
        <v>45443</v>
      </c>
      <c r="C338">
        <v>7181884746</v>
      </c>
      <c r="D338" t="s">
        <v>24</v>
      </c>
      <c r="E338" t="s">
        <v>32</v>
      </c>
      <c r="F338" t="s">
        <v>43</v>
      </c>
      <c r="G338" t="s">
        <v>57</v>
      </c>
      <c r="H338" t="s">
        <v>59</v>
      </c>
      <c r="I338" t="s">
        <v>61</v>
      </c>
      <c r="J338" t="s">
        <v>79</v>
      </c>
      <c r="K338" t="s">
        <v>98</v>
      </c>
      <c r="L338">
        <v>487.19999999999987</v>
      </c>
      <c r="M338">
        <v>69</v>
      </c>
      <c r="N338">
        <v>33616.800000000003</v>
      </c>
    </row>
    <row r="339" spans="1:14" x14ac:dyDescent="0.25">
      <c r="A339">
        <v>341</v>
      </c>
      <c r="B339" s="2">
        <v>45657</v>
      </c>
      <c r="C339">
        <v>654398232</v>
      </c>
      <c r="D339" t="s">
        <v>19</v>
      </c>
      <c r="E339" t="s">
        <v>34</v>
      </c>
      <c r="F339" t="s">
        <v>44</v>
      </c>
      <c r="G339" t="s">
        <v>54</v>
      </c>
      <c r="H339" t="s">
        <v>58</v>
      </c>
      <c r="I339" t="s">
        <v>62</v>
      </c>
      <c r="J339" t="s">
        <v>64</v>
      </c>
      <c r="K339" t="s">
        <v>88</v>
      </c>
      <c r="L339">
        <v>196</v>
      </c>
      <c r="M339">
        <v>68</v>
      </c>
      <c r="N339">
        <v>13328</v>
      </c>
    </row>
    <row r="340" spans="1:14" x14ac:dyDescent="0.25">
      <c r="A340">
        <v>342</v>
      </c>
      <c r="B340" s="2">
        <v>45352</v>
      </c>
      <c r="C340">
        <v>6559752885</v>
      </c>
      <c r="D340" t="s">
        <v>17</v>
      </c>
      <c r="E340" t="s">
        <v>31</v>
      </c>
      <c r="F340" t="s">
        <v>42</v>
      </c>
      <c r="G340" t="s">
        <v>52</v>
      </c>
      <c r="H340" t="s">
        <v>58</v>
      </c>
      <c r="I340" t="s">
        <v>61</v>
      </c>
      <c r="J340" t="s">
        <v>73</v>
      </c>
      <c r="K340" t="s">
        <v>93</v>
      </c>
      <c r="L340">
        <v>560</v>
      </c>
      <c r="M340">
        <v>52</v>
      </c>
      <c r="N340">
        <v>29120</v>
      </c>
    </row>
    <row r="341" spans="1:14" x14ac:dyDescent="0.25">
      <c r="A341">
        <v>343</v>
      </c>
      <c r="B341" s="2">
        <v>45603</v>
      </c>
      <c r="C341">
        <v>9428165637</v>
      </c>
      <c r="D341" t="s">
        <v>17</v>
      </c>
      <c r="E341" t="s">
        <v>31</v>
      </c>
      <c r="F341" t="s">
        <v>42</v>
      </c>
      <c r="G341" t="s">
        <v>52</v>
      </c>
      <c r="H341" t="s">
        <v>58</v>
      </c>
      <c r="I341" t="s">
        <v>61</v>
      </c>
      <c r="J341" t="s">
        <v>70</v>
      </c>
      <c r="K341" t="s">
        <v>90</v>
      </c>
      <c r="L341">
        <v>128.80000000000001</v>
      </c>
      <c r="M341">
        <v>40</v>
      </c>
      <c r="N341">
        <v>5151.9999999999991</v>
      </c>
    </row>
    <row r="342" spans="1:14" x14ac:dyDescent="0.25">
      <c r="A342">
        <v>344</v>
      </c>
      <c r="B342" s="2">
        <v>45304</v>
      </c>
      <c r="C342">
        <v>9902612158</v>
      </c>
      <c r="D342" t="s">
        <v>26</v>
      </c>
      <c r="E342" t="s">
        <v>36</v>
      </c>
      <c r="F342" t="s">
        <v>46</v>
      </c>
      <c r="G342" t="s">
        <v>56</v>
      </c>
      <c r="H342" t="s">
        <v>59</v>
      </c>
      <c r="I342" t="s">
        <v>63</v>
      </c>
      <c r="J342" t="s">
        <v>83</v>
      </c>
      <c r="K342" t="s">
        <v>90</v>
      </c>
      <c r="L342">
        <v>140</v>
      </c>
      <c r="M342">
        <v>100</v>
      </c>
      <c r="N342">
        <v>14000</v>
      </c>
    </row>
    <row r="343" spans="1:14" x14ac:dyDescent="0.25">
      <c r="A343">
        <v>345</v>
      </c>
      <c r="B343" s="2">
        <v>45495</v>
      </c>
      <c r="C343">
        <v>9601886174</v>
      </c>
      <c r="D343" t="s">
        <v>27</v>
      </c>
      <c r="E343" t="s">
        <v>38</v>
      </c>
      <c r="F343" t="s">
        <v>38</v>
      </c>
      <c r="G343" t="s">
        <v>55</v>
      </c>
      <c r="H343" t="s">
        <v>60</v>
      </c>
      <c r="I343" t="s">
        <v>62</v>
      </c>
      <c r="J343" t="s">
        <v>84</v>
      </c>
      <c r="K343" t="s">
        <v>100</v>
      </c>
      <c r="L343">
        <v>298.89999999999998</v>
      </c>
      <c r="M343">
        <v>88</v>
      </c>
      <c r="N343">
        <v>26303.200000000001</v>
      </c>
    </row>
    <row r="344" spans="1:14" x14ac:dyDescent="0.25">
      <c r="A344">
        <v>346</v>
      </c>
      <c r="B344" s="2">
        <v>45419</v>
      </c>
      <c r="C344">
        <v>9194823962</v>
      </c>
      <c r="D344" t="s">
        <v>27</v>
      </c>
      <c r="E344" t="s">
        <v>38</v>
      </c>
      <c r="F344" t="s">
        <v>38</v>
      </c>
      <c r="G344" t="s">
        <v>55</v>
      </c>
      <c r="H344" t="s">
        <v>60</v>
      </c>
      <c r="I344" t="s">
        <v>62</v>
      </c>
      <c r="J344" t="s">
        <v>72</v>
      </c>
      <c r="K344" t="s">
        <v>92</v>
      </c>
      <c r="L344">
        <v>135.1</v>
      </c>
      <c r="M344">
        <v>46</v>
      </c>
      <c r="N344">
        <v>6214.5999999999995</v>
      </c>
    </row>
    <row r="345" spans="1:14" x14ac:dyDescent="0.25">
      <c r="A345">
        <v>347</v>
      </c>
      <c r="B345" s="2">
        <v>45293</v>
      </c>
      <c r="C345">
        <v>3580433044</v>
      </c>
      <c r="D345" t="s">
        <v>27</v>
      </c>
      <c r="E345" t="s">
        <v>38</v>
      </c>
      <c r="F345" t="s">
        <v>38</v>
      </c>
      <c r="G345" t="s">
        <v>55</v>
      </c>
      <c r="H345" t="s">
        <v>60</v>
      </c>
      <c r="I345" t="s">
        <v>62</v>
      </c>
      <c r="J345" t="s">
        <v>77</v>
      </c>
      <c r="K345" t="s">
        <v>96</v>
      </c>
      <c r="L345">
        <v>257.60000000000002</v>
      </c>
      <c r="M345">
        <v>93</v>
      </c>
      <c r="N345">
        <v>23956.799999999999</v>
      </c>
    </row>
    <row r="346" spans="1:14" x14ac:dyDescent="0.25">
      <c r="A346">
        <v>348</v>
      </c>
      <c r="B346" s="2">
        <v>45420</v>
      </c>
      <c r="C346">
        <v>7020598503</v>
      </c>
      <c r="D346" t="s">
        <v>18</v>
      </c>
      <c r="E346" t="s">
        <v>32</v>
      </c>
      <c r="F346" t="s">
        <v>43</v>
      </c>
      <c r="G346" t="s">
        <v>53</v>
      </c>
      <c r="H346" t="s">
        <v>58</v>
      </c>
      <c r="I346" t="s">
        <v>61</v>
      </c>
      <c r="J346" t="s">
        <v>64</v>
      </c>
      <c r="K346" t="s">
        <v>88</v>
      </c>
      <c r="L346">
        <v>196</v>
      </c>
      <c r="M346">
        <v>96</v>
      </c>
      <c r="N346">
        <v>18816</v>
      </c>
    </row>
    <row r="347" spans="1:14" x14ac:dyDescent="0.25">
      <c r="A347">
        <v>349</v>
      </c>
      <c r="B347" s="2">
        <v>45562</v>
      </c>
      <c r="C347">
        <v>8040421717</v>
      </c>
      <c r="D347" t="s">
        <v>19</v>
      </c>
      <c r="E347" t="s">
        <v>34</v>
      </c>
      <c r="F347" t="s">
        <v>44</v>
      </c>
      <c r="G347" t="s">
        <v>54</v>
      </c>
      <c r="H347" t="s">
        <v>60</v>
      </c>
      <c r="I347" t="s">
        <v>61</v>
      </c>
      <c r="J347" t="s">
        <v>71</v>
      </c>
      <c r="K347" t="s">
        <v>91</v>
      </c>
      <c r="L347">
        <v>178.5</v>
      </c>
      <c r="M347">
        <v>12</v>
      </c>
      <c r="N347">
        <v>2142</v>
      </c>
    </row>
    <row r="348" spans="1:14" x14ac:dyDescent="0.25">
      <c r="A348">
        <v>350</v>
      </c>
      <c r="B348" s="2">
        <v>45419</v>
      </c>
      <c r="C348">
        <v>3654530055</v>
      </c>
      <c r="D348" t="s">
        <v>15</v>
      </c>
      <c r="E348" t="s">
        <v>30</v>
      </c>
      <c r="F348" t="s">
        <v>41</v>
      </c>
      <c r="G348" t="s">
        <v>51</v>
      </c>
      <c r="H348" t="s">
        <v>59</v>
      </c>
      <c r="I348" t="s">
        <v>62</v>
      </c>
      <c r="J348" t="s">
        <v>85</v>
      </c>
      <c r="K348" t="s">
        <v>94</v>
      </c>
      <c r="L348">
        <v>1134</v>
      </c>
      <c r="M348">
        <v>38</v>
      </c>
      <c r="N348">
        <v>43092</v>
      </c>
    </row>
    <row r="349" spans="1:14" x14ac:dyDescent="0.25">
      <c r="A349">
        <v>351</v>
      </c>
      <c r="B349" s="2">
        <v>45345</v>
      </c>
      <c r="C349">
        <v>2061527783</v>
      </c>
      <c r="D349" t="s">
        <v>15</v>
      </c>
      <c r="E349" t="s">
        <v>30</v>
      </c>
      <c r="F349" t="s">
        <v>41</v>
      </c>
      <c r="G349" t="s">
        <v>51</v>
      </c>
      <c r="H349" t="s">
        <v>59</v>
      </c>
      <c r="I349" t="s">
        <v>62</v>
      </c>
      <c r="J349" t="s">
        <v>86</v>
      </c>
      <c r="K349" t="s">
        <v>101</v>
      </c>
      <c r="L349">
        <v>98</v>
      </c>
      <c r="M349">
        <v>42</v>
      </c>
      <c r="N349">
        <v>4116</v>
      </c>
    </row>
    <row r="350" spans="1:14" x14ac:dyDescent="0.25">
      <c r="A350">
        <v>352</v>
      </c>
      <c r="B350" s="2">
        <v>45419</v>
      </c>
      <c r="C350">
        <v>7896754000</v>
      </c>
      <c r="D350" t="s">
        <v>17</v>
      </c>
      <c r="E350" t="s">
        <v>31</v>
      </c>
      <c r="F350" t="s">
        <v>42</v>
      </c>
      <c r="G350" t="s">
        <v>52</v>
      </c>
      <c r="H350" t="s">
        <v>60</v>
      </c>
      <c r="I350" t="s">
        <v>62</v>
      </c>
      <c r="J350" t="s">
        <v>79</v>
      </c>
      <c r="K350" t="s">
        <v>98</v>
      </c>
      <c r="L350">
        <v>487.19999999999987</v>
      </c>
      <c r="M350">
        <v>100</v>
      </c>
      <c r="N350">
        <v>48719.999999999993</v>
      </c>
    </row>
    <row r="351" spans="1:14" x14ac:dyDescent="0.25">
      <c r="A351">
        <v>353</v>
      </c>
      <c r="B351" s="2">
        <v>45646</v>
      </c>
      <c r="C351">
        <v>7608023281</v>
      </c>
      <c r="D351" t="s">
        <v>25</v>
      </c>
      <c r="E351" t="s">
        <v>33</v>
      </c>
      <c r="F351" t="s">
        <v>49</v>
      </c>
      <c r="G351" t="s">
        <v>50</v>
      </c>
      <c r="H351" t="s">
        <v>58</v>
      </c>
      <c r="I351" t="s">
        <v>63</v>
      </c>
      <c r="J351" t="s">
        <v>87</v>
      </c>
      <c r="K351" t="s">
        <v>95</v>
      </c>
      <c r="L351">
        <v>140</v>
      </c>
      <c r="M351">
        <v>89</v>
      </c>
      <c r="N351">
        <v>12460</v>
      </c>
    </row>
    <row r="352" spans="1:14" x14ac:dyDescent="0.25">
      <c r="A352">
        <v>354</v>
      </c>
      <c r="B352" s="2">
        <v>45619</v>
      </c>
      <c r="C352">
        <v>1088259448</v>
      </c>
      <c r="D352" t="s">
        <v>25</v>
      </c>
      <c r="E352" t="s">
        <v>33</v>
      </c>
      <c r="F352" t="s">
        <v>49</v>
      </c>
      <c r="G352" t="s">
        <v>50</v>
      </c>
      <c r="H352" t="s">
        <v>58</v>
      </c>
      <c r="I352" t="s">
        <v>63</v>
      </c>
      <c r="J352" t="s">
        <v>73</v>
      </c>
      <c r="K352" t="s">
        <v>93</v>
      </c>
      <c r="L352">
        <v>560</v>
      </c>
      <c r="M352">
        <v>12</v>
      </c>
      <c r="N352">
        <v>6720</v>
      </c>
    </row>
    <row r="353" spans="1:14" x14ac:dyDescent="0.25">
      <c r="A353">
        <v>355</v>
      </c>
      <c r="B353" s="2">
        <v>45333</v>
      </c>
      <c r="C353">
        <v>8019968936</v>
      </c>
      <c r="D353" t="s">
        <v>21</v>
      </c>
      <c r="E353" t="s">
        <v>36</v>
      </c>
      <c r="F353" t="s">
        <v>46</v>
      </c>
      <c r="G353" t="s">
        <v>56</v>
      </c>
      <c r="H353" t="s">
        <v>58</v>
      </c>
      <c r="I353" t="s">
        <v>62</v>
      </c>
      <c r="J353" t="s">
        <v>80</v>
      </c>
      <c r="K353" t="s">
        <v>89</v>
      </c>
      <c r="L353">
        <v>140</v>
      </c>
      <c r="M353">
        <v>97</v>
      </c>
      <c r="N353">
        <v>13580</v>
      </c>
    </row>
    <row r="354" spans="1:14" x14ac:dyDescent="0.25">
      <c r="A354">
        <v>356</v>
      </c>
      <c r="B354" s="2">
        <v>45310</v>
      </c>
      <c r="C354">
        <v>767630917</v>
      </c>
      <c r="D354" t="s">
        <v>21</v>
      </c>
      <c r="E354" t="s">
        <v>36</v>
      </c>
      <c r="F354" t="s">
        <v>46</v>
      </c>
      <c r="G354" t="s">
        <v>56</v>
      </c>
      <c r="H354" t="s">
        <v>59</v>
      </c>
      <c r="I354" t="s">
        <v>61</v>
      </c>
      <c r="J354" t="s">
        <v>65</v>
      </c>
      <c r="K354" t="s">
        <v>89</v>
      </c>
      <c r="L354">
        <v>49</v>
      </c>
      <c r="M354">
        <v>53</v>
      </c>
      <c r="N354">
        <v>2597</v>
      </c>
    </row>
    <row r="355" spans="1:14" x14ac:dyDescent="0.25">
      <c r="A355">
        <v>357</v>
      </c>
      <c r="B355" s="2">
        <v>45609</v>
      </c>
      <c r="C355">
        <v>8764802979</v>
      </c>
      <c r="D355" t="s">
        <v>22</v>
      </c>
      <c r="E355" t="s">
        <v>38</v>
      </c>
      <c r="F355" t="s">
        <v>38</v>
      </c>
      <c r="G355" t="s">
        <v>55</v>
      </c>
      <c r="H355" t="s">
        <v>60</v>
      </c>
      <c r="I355" t="s">
        <v>61</v>
      </c>
      <c r="J355" t="s">
        <v>73</v>
      </c>
      <c r="K355" t="s">
        <v>93</v>
      </c>
      <c r="L355">
        <v>560</v>
      </c>
      <c r="M355">
        <v>61</v>
      </c>
      <c r="N355">
        <v>34160</v>
      </c>
    </row>
    <row r="356" spans="1:14" x14ac:dyDescent="0.25">
      <c r="A356">
        <v>358</v>
      </c>
      <c r="B356" s="2">
        <v>45597</v>
      </c>
      <c r="C356">
        <v>1212476279</v>
      </c>
      <c r="D356" t="s">
        <v>23</v>
      </c>
      <c r="E356" t="s">
        <v>39</v>
      </c>
      <c r="F356" t="s">
        <v>48</v>
      </c>
      <c r="G356" t="s">
        <v>52</v>
      </c>
      <c r="H356" t="s">
        <v>60</v>
      </c>
      <c r="I356" t="s">
        <v>63</v>
      </c>
      <c r="J356" t="s">
        <v>77</v>
      </c>
      <c r="K356" t="s">
        <v>96</v>
      </c>
      <c r="L356">
        <v>257.60000000000002</v>
      </c>
      <c r="M356">
        <v>45</v>
      </c>
      <c r="N356">
        <v>11592</v>
      </c>
    </row>
    <row r="357" spans="1:14" x14ac:dyDescent="0.25">
      <c r="A357">
        <v>359</v>
      </c>
      <c r="B357" s="2">
        <v>45451</v>
      </c>
      <c r="C357">
        <v>8659179079</v>
      </c>
      <c r="D357" t="s">
        <v>20</v>
      </c>
      <c r="E357" t="s">
        <v>35</v>
      </c>
      <c r="F357" t="s">
        <v>45</v>
      </c>
      <c r="G357" t="s">
        <v>55</v>
      </c>
      <c r="H357" t="s">
        <v>60</v>
      </c>
      <c r="I357" t="s">
        <v>62</v>
      </c>
      <c r="J357" t="s">
        <v>69</v>
      </c>
      <c r="K357" t="s">
        <v>88</v>
      </c>
      <c r="L357">
        <v>644</v>
      </c>
      <c r="M357">
        <v>43</v>
      </c>
      <c r="N357">
        <v>27692</v>
      </c>
    </row>
    <row r="358" spans="1:14" x14ac:dyDescent="0.25">
      <c r="A358">
        <v>360</v>
      </c>
      <c r="B358" s="2">
        <v>45399</v>
      </c>
      <c r="C358">
        <v>4311827425</v>
      </c>
      <c r="D358" t="s">
        <v>24</v>
      </c>
      <c r="E358" t="s">
        <v>32</v>
      </c>
      <c r="F358" t="s">
        <v>43</v>
      </c>
      <c r="G358" t="s">
        <v>57</v>
      </c>
      <c r="H358" t="s">
        <v>59</v>
      </c>
      <c r="I358" t="s">
        <v>61</v>
      </c>
      <c r="J358" t="s">
        <v>72</v>
      </c>
      <c r="K358" t="s">
        <v>92</v>
      </c>
      <c r="L358">
        <v>135.1</v>
      </c>
      <c r="M358">
        <v>18</v>
      </c>
      <c r="N358">
        <v>2431.8000000000002</v>
      </c>
    </row>
    <row r="359" spans="1:14" x14ac:dyDescent="0.25">
      <c r="A359">
        <v>361</v>
      </c>
      <c r="B359" s="2">
        <v>45471</v>
      </c>
      <c r="C359">
        <v>7400116244</v>
      </c>
      <c r="D359" t="s">
        <v>19</v>
      </c>
      <c r="E359" t="s">
        <v>34</v>
      </c>
      <c r="F359" t="s">
        <v>44</v>
      </c>
      <c r="G359" t="s">
        <v>54</v>
      </c>
      <c r="H359" t="s">
        <v>58</v>
      </c>
      <c r="I359" t="s">
        <v>62</v>
      </c>
      <c r="J359" t="s">
        <v>71</v>
      </c>
      <c r="K359" t="s">
        <v>91</v>
      </c>
      <c r="L359">
        <v>178.5</v>
      </c>
      <c r="M359">
        <v>41</v>
      </c>
      <c r="N359">
        <v>7318.5</v>
      </c>
    </row>
    <row r="360" spans="1:14" x14ac:dyDescent="0.25">
      <c r="A360">
        <v>362</v>
      </c>
      <c r="B360" s="2">
        <v>45407</v>
      </c>
      <c r="C360">
        <v>8550780121</v>
      </c>
      <c r="D360" t="s">
        <v>17</v>
      </c>
      <c r="E360" t="s">
        <v>31</v>
      </c>
      <c r="F360" t="s">
        <v>42</v>
      </c>
      <c r="G360" t="s">
        <v>52</v>
      </c>
      <c r="H360" t="s">
        <v>58</v>
      </c>
      <c r="I360" t="s">
        <v>61</v>
      </c>
      <c r="J360" t="s">
        <v>71</v>
      </c>
      <c r="K360" t="s">
        <v>91</v>
      </c>
      <c r="L360">
        <v>178.5</v>
      </c>
      <c r="M360">
        <v>19</v>
      </c>
      <c r="N360">
        <v>3391.5</v>
      </c>
    </row>
    <row r="361" spans="1:14" x14ac:dyDescent="0.25">
      <c r="A361">
        <v>363</v>
      </c>
      <c r="B361" s="2">
        <v>45503</v>
      </c>
      <c r="C361">
        <v>9461451917</v>
      </c>
      <c r="D361" t="s">
        <v>26</v>
      </c>
      <c r="E361" t="s">
        <v>36</v>
      </c>
      <c r="F361" t="s">
        <v>46</v>
      </c>
      <c r="G361" t="s">
        <v>56</v>
      </c>
      <c r="H361" t="s">
        <v>59</v>
      </c>
      <c r="I361" t="s">
        <v>63</v>
      </c>
      <c r="J361" t="s">
        <v>76</v>
      </c>
      <c r="K361" t="s">
        <v>95</v>
      </c>
      <c r="L361">
        <v>308</v>
      </c>
      <c r="M361">
        <v>65</v>
      </c>
      <c r="N361">
        <v>20020</v>
      </c>
    </row>
    <row r="362" spans="1:14" x14ac:dyDescent="0.25">
      <c r="A362">
        <v>364</v>
      </c>
      <c r="B362" s="2">
        <v>45487</v>
      </c>
      <c r="C362">
        <v>3160888933</v>
      </c>
      <c r="D362" t="s">
        <v>27</v>
      </c>
      <c r="E362" t="s">
        <v>38</v>
      </c>
      <c r="F362" t="s">
        <v>38</v>
      </c>
      <c r="G362" t="s">
        <v>55</v>
      </c>
      <c r="H362" t="s">
        <v>60</v>
      </c>
      <c r="I362" t="s">
        <v>62</v>
      </c>
      <c r="J362" t="s">
        <v>75</v>
      </c>
      <c r="K362" t="s">
        <v>94</v>
      </c>
      <c r="L362">
        <v>350</v>
      </c>
      <c r="M362">
        <v>13</v>
      </c>
      <c r="N362">
        <v>4550</v>
      </c>
    </row>
    <row r="363" spans="1:14" x14ac:dyDescent="0.25">
      <c r="A363">
        <v>365</v>
      </c>
      <c r="B363" s="2">
        <v>45507</v>
      </c>
      <c r="C363">
        <v>6433254443</v>
      </c>
      <c r="D363" t="s">
        <v>18</v>
      </c>
      <c r="E363" t="s">
        <v>32</v>
      </c>
      <c r="F363" t="s">
        <v>43</v>
      </c>
      <c r="G363" t="s">
        <v>53</v>
      </c>
      <c r="H363" t="s">
        <v>58</v>
      </c>
      <c r="I363" t="s">
        <v>61</v>
      </c>
      <c r="J363" t="s">
        <v>81</v>
      </c>
      <c r="K363" t="s">
        <v>99</v>
      </c>
      <c r="L363">
        <v>546</v>
      </c>
      <c r="M363">
        <v>54</v>
      </c>
      <c r="N363">
        <v>29484</v>
      </c>
    </row>
    <row r="364" spans="1:14" x14ac:dyDescent="0.25">
      <c r="A364">
        <v>366</v>
      </c>
      <c r="B364" s="2">
        <v>45447</v>
      </c>
      <c r="C364">
        <v>8977261174</v>
      </c>
      <c r="D364" t="s">
        <v>19</v>
      </c>
      <c r="E364" t="s">
        <v>34</v>
      </c>
      <c r="F364" t="s">
        <v>44</v>
      </c>
      <c r="G364" t="s">
        <v>54</v>
      </c>
      <c r="H364" t="s">
        <v>60</v>
      </c>
      <c r="I364" t="s">
        <v>61</v>
      </c>
      <c r="J364" t="s">
        <v>66</v>
      </c>
      <c r="K364" t="s">
        <v>89</v>
      </c>
      <c r="L364">
        <v>420</v>
      </c>
      <c r="M364">
        <v>33</v>
      </c>
      <c r="N364">
        <v>13860</v>
      </c>
    </row>
    <row r="365" spans="1:14" x14ac:dyDescent="0.25">
      <c r="A365">
        <v>367</v>
      </c>
      <c r="B365" s="2">
        <v>45400</v>
      </c>
      <c r="C365">
        <v>7770716054</v>
      </c>
      <c r="D365" t="s">
        <v>19</v>
      </c>
      <c r="E365" t="s">
        <v>34</v>
      </c>
      <c r="F365" t="s">
        <v>44</v>
      </c>
      <c r="G365" t="s">
        <v>54</v>
      </c>
      <c r="H365" t="s">
        <v>60</v>
      </c>
      <c r="I365" t="s">
        <v>61</v>
      </c>
      <c r="J365" t="s">
        <v>67</v>
      </c>
      <c r="K365" t="s">
        <v>89</v>
      </c>
      <c r="L365">
        <v>742</v>
      </c>
      <c r="M365">
        <v>34</v>
      </c>
      <c r="N365">
        <v>25228</v>
      </c>
    </row>
    <row r="366" spans="1:14" x14ac:dyDescent="0.25">
      <c r="A366">
        <v>368</v>
      </c>
      <c r="B366" s="2">
        <v>45640</v>
      </c>
      <c r="C366">
        <v>2754807386</v>
      </c>
      <c r="D366" t="s">
        <v>15</v>
      </c>
      <c r="E366" t="s">
        <v>30</v>
      </c>
      <c r="F366" t="s">
        <v>41</v>
      </c>
      <c r="G366" t="s">
        <v>51</v>
      </c>
      <c r="H366" t="s">
        <v>58</v>
      </c>
      <c r="I366" t="s">
        <v>63</v>
      </c>
      <c r="J366" t="s">
        <v>82</v>
      </c>
      <c r="K366" t="s">
        <v>97</v>
      </c>
      <c r="L366">
        <v>532</v>
      </c>
      <c r="M366">
        <v>59</v>
      </c>
      <c r="N366">
        <v>31388</v>
      </c>
    </row>
    <row r="367" spans="1:14" x14ac:dyDescent="0.25">
      <c r="A367">
        <v>369</v>
      </c>
      <c r="B367" s="2">
        <v>45448</v>
      </c>
      <c r="C367">
        <v>3873424489</v>
      </c>
      <c r="D367" t="s">
        <v>25</v>
      </c>
      <c r="E367" t="s">
        <v>33</v>
      </c>
      <c r="F367" t="s">
        <v>49</v>
      </c>
      <c r="G367" t="s">
        <v>50</v>
      </c>
      <c r="H367" t="s">
        <v>59</v>
      </c>
      <c r="I367" t="s">
        <v>61</v>
      </c>
      <c r="J367" t="s">
        <v>74</v>
      </c>
      <c r="K367" t="s">
        <v>88</v>
      </c>
      <c r="L367">
        <v>41.86</v>
      </c>
      <c r="M367">
        <v>24</v>
      </c>
      <c r="N367">
        <v>1004.64</v>
      </c>
    </row>
    <row r="368" spans="1:14" x14ac:dyDescent="0.25">
      <c r="A368">
        <v>197</v>
      </c>
      <c r="B368" s="2">
        <v>45366</v>
      </c>
      <c r="C368">
        <v>1007419194</v>
      </c>
      <c r="D368" t="s">
        <v>21</v>
      </c>
      <c r="E368" t="s">
        <v>36</v>
      </c>
      <c r="F368" t="s">
        <v>46</v>
      </c>
      <c r="G368" t="s">
        <v>56</v>
      </c>
      <c r="H368" t="s">
        <v>59</v>
      </c>
      <c r="I368" t="s">
        <v>61</v>
      </c>
      <c r="J368" t="s">
        <v>70</v>
      </c>
      <c r="K368" t="s">
        <v>90</v>
      </c>
      <c r="L368">
        <v>128.80000000000001</v>
      </c>
      <c r="M368">
        <v>96</v>
      </c>
      <c r="N368">
        <v>12364.8</v>
      </c>
    </row>
    <row r="369" spans="1:14" x14ac:dyDescent="0.25">
      <c r="A369">
        <v>37</v>
      </c>
      <c r="B369" s="2">
        <v>45443</v>
      </c>
      <c r="C369">
        <v>6935804403</v>
      </c>
      <c r="D369" t="s">
        <v>21</v>
      </c>
      <c r="E369" t="s">
        <v>36</v>
      </c>
      <c r="F369" t="s">
        <v>46</v>
      </c>
      <c r="G369" t="s">
        <v>56</v>
      </c>
      <c r="H369" t="s">
        <v>59</v>
      </c>
      <c r="I369" t="s">
        <v>62</v>
      </c>
      <c r="J369" t="s">
        <v>65</v>
      </c>
      <c r="K369" t="s">
        <v>89</v>
      </c>
      <c r="L369">
        <v>49</v>
      </c>
      <c r="M369">
        <v>49</v>
      </c>
      <c r="N369">
        <v>2401</v>
      </c>
    </row>
    <row r="370" spans="1:14" x14ac:dyDescent="0.25">
      <c r="A370">
        <v>16</v>
      </c>
      <c r="B370" s="2">
        <v>45470</v>
      </c>
      <c r="C370">
        <v>6983099686</v>
      </c>
      <c r="D370" t="s">
        <v>28</v>
      </c>
      <c r="E370" t="s">
        <v>37</v>
      </c>
      <c r="F370" t="s">
        <v>47</v>
      </c>
      <c r="G370" t="s">
        <v>52</v>
      </c>
      <c r="H370" t="s">
        <v>58</v>
      </c>
      <c r="I370" t="s">
        <v>63</v>
      </c>
      <c r="J370" t="s">
        <v>69</v>
      </c>
      <c r="K370" t="s">
        <v>88</v>
      </c>
      <c r="L370">
        <v>45</v>
      </c>
      <c r="M370">
        <v>97</v>
      </c>
      <c r="N370">
        <v>4365</v>
      </c>
    </row>
    <row r="371" spans="1:14" x14ac:dyDescent="0.25">
      <c r="A371">
        <v>314</v>
      </c>
      <c r="B371" s="2">
        <v>45622</v>
      </c>
      <c r="C371">
        <v>1343389818</v>
      </c>
      <c r="D371" t="s">
        <v>14</v>
      </c>
      <c r="E371" t="s">
        <v>29</v>
      </c>
      <c r="F371" t="s">
        <v>40</v>
      </c>
      <c r="G371" t="s">
        <v>50</v>
      </c>
      <c r="H371" t="s">
        <v>58</v>
      </c>
      <c r="I371" t="s">
        <v>61</v>
      </c>
      <c r="J371" t="s">
        <v>65</v>
      </c>
      <c r="K371" t="s">
        <v>89</v>
      </c>
      <c r="L371">
        <v>49</v>
      </c>
      <c r="M371">
        <v>70</v>
      </c>
      <c r="N371">
        <v>3430</v>
      </c>
    </row>
    <row r="372" spans="1:14" x14ac:dyDescent="0.25">
      <c r="A372">
        <v>61</v>
      </c>
      <c r="B372" s="2">
        <v>45443</v>
      </c>
      <c r="C372">
        <v>498762200</v>
      </c>
      <c r="D372" t="s">
        <v>19</v>
      </c>
      <c r="E372" t="s">
        <v>34</v>
      </c>
      <c r="F372" t="s">
        <v>44</v>
      </c>
      <c r="G372" t="s">
        <v>54</v>
      </c>
      <c r="H372" t="s">
        <v>60</v>
      </c>
      <c r="I372" t="s">
        <v>61</v>
      </c>
      <c r="J372" t="s">
        <v>71</v>
      </c>
      <c r="K372" t="s">
        <v>91</v>
      </c>
      <c r="L372">
        <v>178.5</v>
      </c>
      <c r="M372">
        <v>16</v>
      </c>
      <c r="N372">
        <v>2856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23B86-0C8C-4F11-A74E-7F1CA6EB879D}">
  <sheetPr codeName="Hoja3"/>
  <dimension ref="A1:U62"/>
  <sheetViews>
    <sheetView zoomScale="78" zoomScaleNormal="78" workbookViewId="0">
      <selection activeCell="E12" sqref="E12"/>
    </sheetView>
  </sheetViews>
  <sheetFormatPr baseColWidth="10" defaultRowHeight="15" x14ac:dyDescent="0.25"/>
  <cols>
    <col min="1" max="1" width="29.42578125" bestFit="1" customWidth="1"/>
    <col min="2" max="2" width="15.28515625" bestFit="1" customWidth="1"/>
    <col min="4" max="4" width="14.5703125" bestFit="1" customWidth="1"/>
    <col min="5" max="5" width="17.5703125" bestFit="1" customWidth="1"/>
    <col min="6" max="6" width="16.7109375" bestFit="1" customWidth="1"/>
  </cols>
  <sheetData>
    <row r="1" spans="1:21" ht="15" customHeight="1" x14ac:dyDescent="0.5">
      <c r="N1" s="8"/>
      <c r="O1" s="8"/>
      <c r="P1" s="8"/>
      <c r="Q1" s="8"/>
      <c r="R1" s="8"/>
      <c r="S1" s="8"/>
      <c r="T1" s="8"/>
      <c r="U1" s="8"/>
    </row>
    <row r="2" spans="1:21" ht="15" customHeight="1" x14ac:dyDescent="0.5">
      <c r="N2" s="8"/>
      <c r="O2" s="8"/>
      <c r="P2" s="8"/>
      <c r="Q2" s="8"/>
      <c r="R2" s="8"/>
      <c r="S2" s="8"/>
      <c r="T2" s="8"/>
      <c r="U2" s="8"/>
    </row>
    <row r="3" spans="1:21" ht="15" customHeight="1" x14ac:dyDescent="0.5">
      <c r="O3" s="8"/>
      <c r="P3" s="8"/>
      <c r="Q3" s="8"/>
      <c r="R3" s="8"/>
      <c r="S3" s="8"/>
      <c r="T3" s="8"/>
    </row>
    <row r="4" spans="1:21" ht="15" customHeight="1" x14ac:dyDescent="0.5">
      <c r="O4" s="8"/>
      <c r="P4" s="8"/>
      <c r="Q4" s="8"/>
      <c r="R4" s="8"/>
      <c r="S4" s="8"/>
      <c r="T4" s="8"/>
    </row>
    <row r="5" spans="1:21" x14ac:dyDescent="0.25">
      <c r="A5" s="4" t="s">
        <v>104</v>
      </c>
      <c r="B5" t="s">
        <v>103</v>
      </c>
      <c r="E5" s="4" t="s">
        <v>104</v>
      </c>
      <c r="F5" t="s">
        <v>118</v>
      </c>
    </row>
    <row r="6" spans="1:21" x14ac:dyDescent="0.25">
      <c r="A6" s="5" t="s">
        <v>53</v>
      </c>
      <c r="B6" s="6">
        <v>213238</v>
      </c>
      <c r="E6" s="5" t="s">
        <v>61</v>
      </c>
      <c r="F6">
        <v>136</v>
      </c>
    </row>
    <row r="7" spans="1:21" x14ac:dyDescent="0.25">
      <c r="A7" s="5" t="s">
        <v>57</v>
      </c>
      <c r="B7" s="6">
        <v>404440.19999999995</v>
      </c>
      <c r="E7" s="5" t="s">
        <v>63</v>
      </c>
      <c r="F7">
        <v>74</v>
      </c>
    </row>
    <row r="8" spans="1:21" x14ac:dyDescent="0.25">
      <c r="A8" s="5" t="s">
        <v>54</v>
      </c>
      <c r="B8" s="6">
        <v>499534</v>
      </c>
      <c r="E8" s="5" t="s">
        <v>62</v>
      </c>
      <c r="F8">
        <v>161</v>
      </c>
    </row>
    <row r="9" spans="1:21" x14ac:dyDescent="0.25">
      <c r="A9" s="5" t="s">
        <v>50</v>
      </c>
      <c r="B9" s="6">
        <v>503486.22</v>
      </c>
      <c r="E9" s="5" t="s">
        <v>105</v>
      </c>
      <c r="F9">
        <v>371</v>
      </c>
    </row>
    <row r="10" spans="1:21" x14ac:dyDescent="0.25">
      <c r="A10" s="5" t="s">
        <v>56</v>
      </c>
      <c r="B10" s="6">
        <v>573454.34000000008</v>
      </c>
    </row>
    <row r="11" spans="1:21" x14ac:dyDescent="0.25">
      <c r="A11" s="5" t="s">
        <v>51</v>
      </c>
      <c r="B11" s="6">
        <v>838518.6</v>
      </c>
    </row>
    <row r="12" spans="1:21" x14ac:dyDescent="0.25">
      <c r="A12" s="5" t="s">
        <v>55</v>
      </c>
      <c r="B12" s="6">
        <v>1251279.6800000002</v>
      </c>
      <c r="E12" s="4" t="s">
        <v>104</v>
      </c>
      <c r="F12" t="s">
        <v>103</v>
      </c>
    </row>
    <row r="13" spans="1:21" x14ac:dyDescent="0.25">
      <c r="A13" s="5" t="s">
        <v>52</v>
      </c>
      <c r="B13" s="6">
        <v>1379805.24</v>
      </c>
      <c r="E13" s="5" t="s">
        <v>119</v>
      </c>
      <c r="F13">
        <v>2222562.3800000004</v>
      </c>
    </row>
    <row r="14" spans="1:21" x14ac:dyDescent="0.25">
      <c r="A14" s="5" t="s">
        <v>105</v>
      </c>
      <c r="B14">
        <v>5663756.2800000003</v>
      </c>
      <c r="E14" s="5" t="s">
        <v>120</v>
      </c>
      <c r="F14">
        <v>1428234.7000000002</v>
      </c>
    </row>
    <row r="15" spans="1:21" x14ac:dyDescent="0.25">
      <c r="E15" s="5" t="s">
        <v>121</v>
      </c>
      <c r="F15">
        <v>1411799.2</v>
      </c>
    </row>
    <row r="16" spans="1:21" x14ac:dyDescent="0.25">
      <c r="E16" s="5" t="s">
        <v>122</v>
      </c>
      <c r="F16">
        <v>309722</v>
      </c>
    </row>
    <row r="17" spans="1:6" x14ac:dyDescent="0.25">
      <c r="A17" s="4" t="s">
        <v>104</v>
      </c>
      <c r="B17" t="s">
        <v>103</v>
      </c>
      <c r="E17" s="5" t="s">
        <v>123</v>
      </c>
      <c r="F17">
        <v>180306</v>
      </c>
    </row>
    <row r="18" spans="1:6" x14ac:dyDescent="0.25">
      <c r="A18" s="5" t="s">
        <v>106</v>
      </c>
      <c r="B18">
        <v>548269.44000000006</v>
      </c>
      <c r="E18" s="5" t="s">
        <v>124</v>
      </c>
      <c r="F18">
        <v>111132</v>
      </c>
    </row>
    <row r="19" spans="1:6" x14ac:dyDescent="0.25">
      <c r="A19" s="5" t="s">
        <v>107</v>
      </c>
      <c r="B19">
        <v>372911.1</v>
      </c>
      <c r="E19" s="5" t="s">
        <v>105</v>
      </c>
      <c r="F19">
        <v>5663756.2800000003</v>
      </c>
    </row>
    <row r="20" spans="1:6" x14ac:dyDescent="0.25">
      <c r="A20" s="5" t="s">
        <v>108</v>
      </c>
      <c r="B20">
        <v>351851</v>
      </c>
    </row>
    <row r="21" spans="1:6" x14ac:dyDescent="0.25">
      <c r="A21" s="5" t="s">
        <v>109</v>
      </c>
      <c r="B21">
        <v>628879.22000000009</v>
      </c>
    </row>
    <row r="22" spans="1:6" x14ac:dyDescent="0.25">
      <c r="A22" s="5" t="s">
        <v>110</v>
      </c>
      <c r="B22">
        <v>558568.5</v>
      </c>
    </row>
    <row r="23" spans="1:6" x14ac:dyDescent="0.25">
      <c r="A23" s="5" t="s">
        <v>111</v>
      </c>
      <c r="B23">
        <v>481792.04</v>
      </c>
    </row>
    <row r="24" spans="1:6" x14ac:dyDescent="0.25">
      <c r="A24" s="5" t="s">
        <v>112</v>
      </c>
      <c r="B24">
        <v>459700.8</v>
      </c>
    </row>
    <row r="25" spans="1:6" x14ac:dyDescent="0.25">
      <c r="A25" s="5" t="s">
        <v>113</v>
      </c>
      <c r="B25">
        <v>564966.5</v>
      </c>
    </row>
    <row r="26" spans="1:6" x14ac:dyDescent="0.25">
      <c r="A26" s="5" t="s">
        <v>114</v>
      </c>
      <c r="B26">
        <v>504202.0199999999</v>
      </c>
    </row>
    <row r="27" spans="1:6" x14ac:dyDescent="0.25">
      <c r="A27" s="5" t="s">
        <v>115</v>
      </c>
      <c r="B27">
        <v>512894.75999999995</v>
      </c>
    </row>
    <row r="28" spans="1:6" x14ac:dyDescent="0.25">
      <c r="A28" s="5" t="s">
        <v>116</v>
      </c>
      <c r="B28">
        <v>340397.3</v>
      </c>
    </row>
    <row r="29" spans="1:6" x14ac:dyDescent="0.25">
      <c r="A29" s="5" t="s">
        <v>117</v>
      </c>
      <c r="B29">
        <v>339323.60000000003</v>
      </c>
    </row>
    <row r="30" spans="1:6" x14ac:dyDescent="0.25">
      <c r="A30" s="5" t="s">
        <v>105</v>
      </c>
      <c r="B30">
        <v>5663756.2799999993</v>
      </c>
    </row>
    <row r="33" spans="1:2" x14ac:dyDescent="0.25">
      <c r="A33" s="4" t="s">
        <v>104</v>
      </c>
      <c r="B33" t="s">
        <v>103</v>
      </c>
    </row>
    <row r="34" spans="1:2" x14ac:dyDescent="0.25">
      <c r="A34" s="5" t="s">
        <v>101</v>
      </c>
      <c r="B34">
        <v>40376</v>
      </c>
    </row>
    <row r="35" spans="1:2" x14ac:dyDescent="0.25">
      <c r="A35" s="5" t="s">
        <v>99</v>
      </c>
      <c r="B35">
        <v>97188</v>
      </c>
    </row>
    <row r="36" spans="1:2" x14ac:dyDescent="0.25">
      <c r="A36" s="5" t="s">
        <v>100</v>
      </c>
      <c r="B36">
        <v>186513.60000000003</v>
      </c>
    </row>
    <row r="37" spans="1:2" x14ac:dyDescent="0.25">
      <c r="A37" s="5" t="s">
        <v>92</v>
      </c>
      <c r="B37">
        <v>212120.3</v>
      </c>
    </row>
    <row r="38" spans="1:2" x14ac:dyDescent="0.25">
      <c r="A38" s="5" t="s">
        <v>91</v>
      </c>
      <c r="B38">
        <v>232475</v>
      </c>
    </row>
    <row r="39" spans="1:2" x14ac:dyDescent="0.25">
      <c r="A39" s="5" t="s">
        <v>90</v>
      </c>
      <c r="B39">
        <v>260317.2</v>
      </c>
    </row>
    <row r="40" spans="1:2" x14ac:dyDescent="0.25">
      <c r="A40" s="5" t="s">
        <v>97</v>
      </c>
      <c r="B40">
        <v>267174</v>
      </c>
    </row>
    <row r="41" spans="1:2" x14ac:dyDescent="0.25">
      <c r="A41" s="5" t="s">
        <v>95</v>
      </c>
      <c r="B41">
        <v>274148</v>
      </c>
    </row>
    <row r="42" spans="1:2" x14ac:dyDescent="0.25">
      <c r="A42" s="5" t="s">
        <v>89</v>
      </c>
      <c r="B42">
        <v>302386</v>
      </c>
    </row>
    <row r="43" spans="1:2" x14ac:dyDescent="0.25">
      <c r="A43" s="5" t="s">
        <v>96</v>
      </c>
      <c r="B43">
        <v>341108.6</v>
      </c>
    </row>
    <row r="44" spans="1:2" x14ac:dyDescent="0.25">
      <c r="A44" s="5" t="s">
        <v>98</v>
      </c>
      <c r="B44">
        <v>428123.1999999999</v>
      </c>
    </row>
    <row r="45" spans="1:2" x14ac:dyDescent="0.25">
      <c r="A45" s="5" t="s">
        <v>94</v>
      </c>
      <c r="B45">
        <v>711364</v>
      </c>
    </row>
    <row r="46" spans="1:2" x14ac:dyDescent="0.25">
      <c r="A46" s="5" t="s">
        <v>93</v>
      </c>
      <c r="B46">
        <v>916645</v>
      </c>
    </row>
    <row r="47" spans="1:2" x14ac:dyDescent="0.25">
      <c r="A47" s="5" t="s">
        <v>88</v>
      </c>
      <c r="B47">
        <v>1393817.38</v>
      </c>
    </row>
    <row r="48" spans="1:2" x14ac:dyDescent="0.25">
      <c r="A48" s="5" t="s">
        <v>105</v>
      </c>
      <c r="B48">
        <v>5663756.2800000003</v>
      </c>
    </row>
    <row r="50" spans="1:4" x14ac:dyDescent="0.25">
      <c r="A50" s="4" t="s">
        <v>104</v>
      </c>
      <c r="B50" t="s">
        <v>103</v>
      </c>
    </row>
    <row r="51" spans="1:4" x14ac:dyDescent="0.25">
      <c r="A51" s="5" t="s">
        <v>43</v>
      </c>
      <c r="B51">
        <v>617678.20000000019</v>
      </c>
      <c r="C51" t="str">
        <f t="shared" ref="C51:C61" si="0">A51</f>
        <v>Antioquia</v>
      </c>
      <c r="D51">
        <f>GETPIVOTDATA("Ventas",$A$50,"Departamento","Antioquia")</f>
        <v>617678.20000000019</v>
      </c>
    </row>
    <row r="52" spans="1:4" x14ac:dyDescent="0.25">
      <c r="A52" s="5" t="s">
        <v>38</v>
      </c>
      <c r="B52">
        <v>700487.47999999986</v>
      </c>
      <c r="C52" t="str">
        <f t="shared" si="0"/>
        <v>Bogota</v>
      </c>
      <c r="D52">
        <f>GETPIVOTDATA("Ventas",$A$50,"Departamento","Bogota")</f>
        <v>700487.47999999986</v>
      </c>
    </row>
    <row r="53" spans="1:4" x14ac:dyDescent="0.25">
      <c r="A53" s="5" t="s">
        <v>46</v>
      </c>
      <c r="B53">
        <v>573454.34000000008</v>
      </c>
      <c r="C53" t="str">
        <f t="shared" si="0"/>
        <v>Bolivar</v>
      </c>
      <c r="D53">
        <f>GETPIVOTDATA("Ventas",$A$50,"Departamento","Bolivar")</f>
        <v>573454.34000000008</v>
      </c>
    </row>
    <row r="54" spans="1:4" x14ac:dyDescent="0.25">
      <c r="A54" s="5" t="s">
        <v>49</v>
      </c>
      <c r="B54">
        <v>343060.22</v>
      </c>
      <c r="C54" t="str">
        <f t="shared" si="0"/>
        <v>Boyaca</v>
      </c>
      <c r="D54">
        <f>GETPIVOTDATA("Ventas",$A$50,"Departamento","Boyaca")</f>
        <v>343060.22</v>
      </c>
    </row>
    <row r="55" spans="1:4" x14ac:dyDescent="0.25">
      <c r="A55" s="5" t="s">
        <v>48</v>
      </c>
      <c r="B55">
        <v>469627.23999999987</v>
      </c>
      <c r="C55" t="str">
        <f t="shared" si="0"/>
        <v>Caldas</v>
      </c>
      <c r="D55">
        <f>GETPIVOTDATA("Ventas",$A$50,"Departamento","Caldas")</f>
        <v>469627.23999999987</v>
      </c>
    </row>
    <row r="56" spans="1:4" x14ac:dyDescent="0.25">
      <c r="A56" s="5" t="s">
        <v>47</v>
      </c>
      <c r="B56">
        <v>234349</v>
      </c>
      <c r="C56" t="str">
        <f t="shared" si="0"/>
        <v>Huila</v>
      </c>
      <c r="D56">
        <f>GETPIVOTDATA("Ventas",$A$50,"Departamento","Huila")</f>
        <v>234349</v>
      </c>
    </row>
    <row r="57" spans="1:4" x14ac:dyDescent="0.25">
      <c r="A57" s="5" t="s">
        <v>42</v>
      </c>
      <c r="B57">
        <v>675829</v>
      </c>
      <c r="C57" t="str">
        <f t="shared" si="0"/>
        <v>Quindio</v>
      </c>
      <c r="D57">
        <f>GETPIVOTDATA("Ventas",$A$50,"Departamento","Quindio")</f>
        <v>675829</v>
      </c>
    </row>
    <row r="58" spans="1:4" x14ac:dyDescent="0.25">
      <c r="A58" s="5" t="s">
        <v>45</v>
      </c>
      <c r="B58">
        <v>550792.19999999995</v>
      </c>
      <c r="C58" t="str">
        <f t="shared" si="0"/>
        <v>Risaralda</v>
      </c>
      <c r="D58">
        <f>GETPIVOTDATA("Ventas",$A$50,"Departamento","Risaralda")</f>
        <v>550792.19999999995</v>
      </c>
    </row>
    <row r="59" spans="1:4" x14ac:dyDescent="0.25">
      <c r="A59" s="5" t="s">
        <v>40</v>
      </c>
      <c r="B59">
        <v>160426</v>
      </c>
      <c r="C59" t="str">
        <f t="shared" si="0"/>
        <v>Santander</v>
      </c>
      <c r="D59">
        <f>GETPIVOTDATA("Ventas",$A$50,"Departamento","Santander")</f>
        <v>160426</v>
      </c>
    </row>
    <row r="60" spans="1:4" x14ac:dyDescent="0.25">
      <c r="A60" s="5" t="s">
        <v>44</v>
      </c>
      <c r="B60">
        <v>499534</v>
      </c>
      <c r="C60" t="str">
        <f t="shared" si="0"/>
        <v>Tolima</v>
      </c>
      <c r="D60">
        <f>GETPIVOTDATA("Ventas",$A$50,"Departamento","Tolima")</f>
        <v>499534</v>
      </c>
    </row>
    <row r="61" spans="1:4" x14ac:dyDescent="0.25">
      <c r="A61" s="5" t="s">
        <v>41</v>
      </c>
      <c r="B61">
        <v>838518.6</v>
      </c>
      <c r="C61" t="str">
        <f t="shared" si="0"/>
        <v>Valle del Cauca</v>
      </c>
      <c r="D61">
        <f>GETPIVOTDATA("Ventas",$A$50,"Departamento","Valle del Cauca")</f>
        <v>838518.6</v>
      </c>
    </row>
    <row r="62" spans="1:4" x14ac:dyDescent="0.25">
      <c r="A62" s="5" t="s">
        <v>105</v>
      </c>
      <c r="B62">
        <v>5663756.2799999993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F25C-7A27-4133-B17C-3C54A9C833AA}">
  <sheetPr codeName="Hoja1"/>
  <dimension ref="F1:L3"/>
  <sheetViews>
    <sheetView showRowColHeaders="0" tabSelected="1" zoomScale="75" zoomScaleNormal="75" workbookViewId="0">
      <selection activeCell="V5" sqref="V5"/>
    </sheetView>
  </sheetViews>
  <sheetFormatPr baseColWidth="10" defaultRowHeight="15" x14ac:dyDescent="0.25"/>
  <cols>
    <col min="1" max="16384" width="11.42578125" style="7"/>
  </cols>
  <sheetData>
    <row r="1" spans="6:12" x14ac:dyDescent="0.25">
      <c r="F1" s="9" t="s">
        <v>125</v>
      </c>
      <c r="G1" s="10"/>
      <c r="H1" s="10"/>
      <c r="I1" s="10"/>
      <c r="J1" s="10"/>
      <c r="K1" s="10"/>
      <c r="L1" s="10"/>
    </row>
    <row r="2" spans="6:12" ht="15.75" thickBot="1" x14ac:dyDescent="0.3">
      <c r="F2" s="11"/>
      <c r="G2" s="11"/>
      <c r="H2" s="11"/>
      <c r="I2" s="11"/>
      <c r="J2" s="11"/>
      <c r="K2" s="11"/>
      <c r="L2" s="11"/>
    </row>
    <row r="3" spans="6:12" ht="24" thickTop="1" x14ac:dyDescent="0.35">
      <c r="H3" s="12">
        <v>2024</v>
      </c>
      <c r="I3" s="12"/>
      <c r="J3" s="12"/>
    </row>
  </sheetData>
  <mergeCells count="2">
    <mergeCell ref="F1:L2"/>
    <mergeCell ref="H3:J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4</xdr:col>
                <xdr:colOff>752475</xdr:colOff>
                <xdr:row>3</xdr:row>
                <xdr:rowOff>38100</xdr:rowOff>
              </to>
            </anchor>
          </controlPr>
        </control>
      </mc:Choice>
      <mc:Fallback>
        <control shapeId="4098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Sheet1</vt:lpstr>
      <vt:lpstr>Hoja2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ALBERTO GALICIA GUERRERO</dc:creator>
  <cp:lastModifiedBy>USER</cp:lastModifiedBy>
  <dcterms:created xsi:type="dcterms:W3CDTF">2025-09-08T22:35:53Z</dcterms:created>
  <dcterms:modified xsi:type="dcterms:W3CDTF">2025-09-10T02:39:13Z</dcterms:modified>
</cp:coreProperties>
</file>